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Of Quantities" sheetId="1" state="visible" r:id="rId1"/>
    <sheet xmlns:r="http://schemas.openxmlformats.org/officeDocument/2006/relationships" name="Bid Quantity Summary" sheetId="2" state="visible" r:id="rId2"/>
    <sheet xmlns:r="http://schemas.openxmlformats.org/officeDocument/2006/relationships" name="Linear Quantity Breakdown" sheetId="3" state="visible" r:id="rId3"/>
    <sheet xmlns:r="http://schemas.openxmlformats.org/officeDocument/2006/relationships" name="Fittings Bends Connections" sheetId="4" state="visible" r:id="rId4"/>
    <sheet xmlns:r="http://schemas.openxmlformats.org/officeDocument/2006/relationships" name="Quantity QAQC" sheetId="5" state="visible" r:id="rId5"/>
    <sheet xmlns:r="http://schemas.openxmlformats.org/officeDocument/2006/relationships"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E8EEF4"/>
      <sz val="14"/>
    </font>
    <font>
      <b val="1"/>
      <color rgb="001EB6FF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06101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2" fontId="0" fillId="0" borderId="1" applyAlignment="1" pivotButton="0" quotePrefix="0" xfId="0">
      <alignment horizontal="right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8" customWidth="1" min="10" max="10"/>
    <col width="28" customWidth="1" min="11" max="11"/>
  </cols>
  <sheetData>
    <row r="1" ht="26" customHeight="1">
      <c r="A1" s="1" t="inlineStr">
        <is>
          <t>ESTIMATE OF QUANTITIES</t>
        </is>
      </c>
    </row>
    <row r="2">
      <c r="A2" s="2" t="inlineStr">
        <is>
          <t>Item Number</t>
        </is>
      </c>
      <c r="B2" s="2" t="inlineStr">
        <is>
          <t>Standard Bid Item Number</t>
        </is>
      </c>
      <c r="C2" s="2" t="inlineStr">
        <is>
          <t>Item Description</t>
        </is>
      </c>
      <c r="D2" s="2" t="inlineStr">
        <is>
          <t>Unit</t>
        </is>
      </c>
      <c r="E2" s="2" t="inlineStr">
        <is>
          <t>Quantity</t>
        </is>
      </c>
      <c r="F2" s="2" t="inlineStr">
        <is>
          <t>Cost</t>
        </is>
      </c>
      <c r="G2" s="2" t="inlineStr">
        <is>
          <t>Total Cost</t>
        </is>
      </c>
      <c r="H2" s="2" t="inlineStr">
        <is>
          <t>AI Confidence</t>
        </is>
      </c>
      <c r="I2" s="2" t="inlineStr">
        <is>
          <t>Status</t>
        </is>
      </c>
      <c r="J2" s="2" t="inlineStr">
        <is>
          <t>Source</t>
        </is>
      </c>
      <c r="K2" s="2" t="inlineStr">
        <is>
          <t>Calculation Method</t>
        </is>
      </c>
    </row>
    <row r="3">
      <c r="A3" s="3" t="inlineStr">
        <is>
          <t>General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n">
        <v>1</v>
      </c>
      <c r="B4" s="5" t="inlineStr">
        <is>
          <t>9.001</t>
        </is>
      </c>
      <c r="C4" s="6" t="inlineStr">
        <is>
          <t>Mobilization</t>
        </is>
      </c>
      <c r="D4" s="5" t="inlineStr">
        <is>
          <t>LS</t>
        </is>
      </c>
      <c r="E4" s="7" t="n">
        <v>1</v>
      </c>
      <c r="F4" s="8" t="inlineStr"/>
      <c r="G4" s="8" t="inlineStr"/>
      <c r="H4" s="9" t="n">
        <v>97</v>
      </c>
      <c r="I4" s="5" t="inlineStr">
        <is>
          <t>Verified</t>
        </is>
      </c>
      <c r="J4" s="8" t="inlineStr">
        <is>
          <t>Bid line 9.001</t>
        </is>
      </c>
      <c r="K4" s="8" t="inlineStr">
        <is>
          <t>Standard lump-sum pay item — 1 LS on every project</t>
        </is>
      </c>
    </row>
    <row r="5">
      <c r="A5" s="3" t="inlineStr">
        <is>
          <t>Traffic Control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>
        <v>2</v>
      </c>
      <c r="B6" s="5" t="inlineStr">
        <is>
          <t>634.011</t>
        </is>
      </c>
      <c r="C6" s="6" t="inlineStr">
        <is>
          <t>Traffic Control</t>
        </is>
      </c>
      <c r="D6" s="5" t="inlineStr">
        <is>
          <t>SQFT</t>
        </is>
      </c>
      <c r="E6" s="7" t="n">
        <v>149</v>
      </c>
      <c r="F6" s="8" t="inlineStr"/>
      <c r="G6" s="8" t="inlineStr"/>
      <c r="H6" s="9" t="n">
        <v>95</v>
      </c>
      <c r="I6" s="5" t="inlineStr">
        <is>
          <t>Engineer Review</t>
        </is>
      </c>
      <c r="J6" s="8" t="inlineStr">
        <is>
          <t>Sheet F2, ITEMIZED LIST FOR TRAFFIC CONTROL BID ITEMS; sign-face total</t>
        </is>
      </c>
      <c r="K6" s="8" t="inlineStr">
        <is>
          <t>Extracted sign-face total of 149 SF. Individual MUTCD sign rows were not separately added.</t>
        </is>
      </c>
    </row>
    <row r="7">
      <c r="A7" s="5" t="n">
        <v>3</v>
      </c>
      <c r="B7" s="5" t="inlineStr">
        <is>
          <t>634.012</t>
        </is>
      </c>
      <c r="C7" s="6" t="inlineStr">
        <is>
          <t>Traffic Control, Miscellaneous</t>
        </is>
      </c>
      <c r="D7" s="5" t="inlineStr">
        <is>
          <t>LS</t>
        </is>
      </c>
      <c r="E7" s="7" t="n">
        <v>1</v>
      </c>
      <c r="F7" s="8" t="inlineStr"/>
      <c r="G7" s="8" t="inlineStr"/>
      <c r="H7" s="9" t="n">
        <v>95</v>
      </c>
      <c r="I7" s="5" t="inlineStr">
        <is>
          <t>Engineer Review</t>
        </is>
      </c>
      <c r="J7" s="8" t="inlineStr">
        <is>
          <t>Sheet F2, ITEMIZED LIST FOR TRAFFIC CONTROL BID ITEMS</t>
        </is>
      </c>
      <c r="K7" s="8" t="inlineStr">
        <is>
          <t>Listed as LUMP SUM for cones, vertical panels, drums, watchman, tubular markers, flags, installation of furnished signs, sign movements, and bagging existing parking meters.</t>
        </is>
      </c>
    </row>
    <row r="8">
      <c r="A8" s="5" t="n">
        <v>4</v>
      </c>
      <c r="B8" s="5" t="inlineStr">
        <is>
          <t>634.0265</t>
        </is>
      </c>
      <c r="C8" s="6" t="inlineStr">
        <is>
          <t>Type 3 Barricade, 6' Double Sided</t>
        </is>
      </c>
      <c r="D8" s="5" t="inlineStr">
        <is>
          <t>EA</t>
        </is>
      </c>
      <c r="E8" s="7" t="n">
        <v>12</v>
      </c>
      <c r="F8" s="8" t="inlineStr"/>
      <c r="G8" s="8" t="inlineStr"/>
      <c r="H8" s="9" t="n">
        <v>95</v>
      </c>
      <c r="I8" s="5" t="inlineStr">
        <is>
          <t>Engineer Review</t>
        </is>
      </c>
      <c r="J8" s="8" t="inlineStr">
        <is>
          <t>Sheet F2, ITEMIZED LIST FOR TRAFFIC CONTROL BID ITEMS</t>
        </is>
      </c>
      <c r="K8" s="8" t="inlineStr">
        <is>
          <t>Extracted from listed project total: 12 EACH.</t>
        </is>
      </c>
    </row>
    <row r="9">
      <c r="A9" s="3" t="inlineStr">
        <is>
          <t>Removals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5" t="n">
        <v>5</v>
      </c>
      <c r="B10" s="5" t="inlineStr">
        <is>
          <t>110.052</t>
        </is>
      </c>
      <c r="C10" s="6" t="inlineStr">
        <is>
          <t>Remove Sewer Pipe</t>
        </is>
      </c>
      <c r="D10" s="5" t="inlineStr">
        <is>
          <t>LF</t>
        </is>
      </c>
      <c r="E10" s="7" t="n">
        <v>24</v>
      </c>
      <c r="F10" s="8" t="inlineStr"/>
      <c r="G10" s="8" t="inlineStr"/>
      <c r="H10" s="9" t="n">
        <v>95</v>
      </c>
      <c r="I10" s="5" t="inlineStr">
        <is>
          <t>Engineer Review</t>
        </is>
      </c>
      <c r="J10" s="8" t="inlineStr">
        <is>
          <t>Combined locations — pages 22, 23 · Sheet H.1 removal callout: "REMOVE SANITARY SEWER MAIN - 6 LF (AFTER INSTALLATION OF NEW MANHOLE/MAIN AND SERVICES ARE CONNECTED)"; Sheet H.2 removal callouts: three separate callouts, each reading "REMOVE SANITARY SEWER MAIN - 6 LF".</t>
        </is>
      </c>
      <c r="K10" s="8" t="inlineStr">
        <is>
          <t>Combined 2 similar location/takeoff rows: 6 + 18 = 24</t>
        </is>
      </c>
    </row>
    <row r="11">
      <c r="A11" s="5" t="n">
        <v>6</v>
      </c>
      <c r="B11" s="5" t="inlineStr">
        <is>
          <t>110.0525</t>
        </is>
      </c>
      <c r="C11" s="6" t="inlineStr">
        <is>
          <t>Abandon Sanitary Sewer Pipe</t>
        </is>
      </c>
      <c r="D11" s="5" t="inlineStr">
        <is>
          <t>LF</t>
        </is>
      </c>
      <c r="E11" s="7" t="n">
        <v>416</v>
      </c>
      <c r="F11" s="8" t="inlineStr"/>
      <c r="G11" s="8" t="inlineStr"/>
      <c r="H11" s="9" t="n">
        <v>95</v>
      </c>
      <c r="I11" s="5" t="inlineStr">
        <is>
          <t>Engineer Review</t>
        </is>
      </c>
      <c r="J11" s="8" t="inlineStr">
        <is>
          <t>Combined locations — pages 22, 23 · Sheet H.1 removal callout: "ABANDON SANITARY SEWER PIPE - 14 LF"; Sheet H.2 callout: "(AFTER INSTALLATION OF NEW MANHOLE/MAIN AND SERVICES RECONNECTED) ABANDON SANITARY SEWER PIPE - 402 LF".</t>
        </is>
      </c>
      <c r="K11" s="8" t="inlineStr">
        <is>
          <t>Combined 2 similar location/takeoff rows: 14 + 402 = 416</t>
        </is>
      </c>
    </row>
    <row r="12">
      <c r="A12" s="5" t="n">
        <v>7</v>
      </c>
      <c r="B12" s="5" t="inlineStr">
        <is>
          <t>110.053</t>
        </is>
      </c>
      <c r="C12" s="6" t="inlineStr">
        <is>
          <t>Remove Storm Sewer Pipe</t>
        </is>
      </c>
      <c r="D12" s="5" t="inlineStr">
        <is>
          <t>LF</t>
        </is>
      </c>
      <c r="E12" s="7" t="n">
        <v>6</v>
      </c>
      <c r="F12" s="8" t="inlineStr"/>
      <c r="G12" s="8" t="inlineStr"/>
      <c r="H12" s="9" t="n">
        <v>95</v>
      </c>
      <c r="I12" s="5" t="inlineStr">
        <is>
          <t>Engineer Review</t>
        </is>
      </c>
      <c r="J12" s="8" t="inlineStr">
        <is>
          <t>Sheet H.1 removal callout: "REMOVE STORM SEWER - 6 LF (FOR INSTALLATION OF DROP INLET)"</t>
        </is>
      </c>
      <c r="K12" s="8" t="inlineStr">
        <is>
          <t>Explicit removal callout quantity; sawcutting is stated to be incidental to drop inlet bid items.</t>
        </is>
      </c>
    </row>
    <row r="13">
      <c r="A13" s="5" t="n">
        <v>8</v>
      </c>
      <c r="B13" s="5" t="inlineStr">
        <is>
          <t>110.1461</t>
        </is>
      </c>
      <c r="C13" s="6" t="inlineStr">
        <is>
          <t>Remove Sanitary Sewer Manhole</t>
        </is>
      </c>
      <c r="D13" s="5" t="inlineStr">
        <is>
          <t>EA</t>
        </is>
      </c>
      <c r="E13" s="7" t="n">
        <v>1</v>
      </c>
      <c r="F13" s="8" t="inlineStr"/>
      <c r="G13" s="8" t="inlineStr"/>
      <c r="H13" s="9" t="n">
        <v>95</v>
      </c>
      <c r="I13" s="5" t="inlineStr">
        <is>
          <t>Engineer Review</t>
        </is>
      </c>
      <c r="J13" s="8" t="inlineStr">
        <is>
          <t>Sheet H.1 removal callout: "REMOVE SANITARY SEWER MANHOLE - 1 EACH"</t>
        </is>
      </c>
      <c r="K13" s="8" t="inlineStr">
        <is>
          <t>Explicit removal callout quantity.</t>
        </is>
      </c>
    </row>
    <row r="14">
      <c r="A14" s="5" t="n">
        <v>9</v>
      </c>
      <c r="B14" s="5" t="inlineStr">
        <is>
          <t>110.197</t>
        </is>
      </c>
      <c r="C14" s="6" t="inlineStr">
        <is>
          <t>Remove Water Main</t>
        </is>
      </c>
      <c r="D14" s="5" t="inlineStr">
        <is>
          <t>LF</t>
        </is>
      </c>
      <c r="E14" s="7" t="n">
        <v>5</v>
      </c>
      <c r="F14" s="8" t="inlineStr"/>
      <c r="G14" s="8" t="inlineStr"/>
      <c r="H14" s="9" t="n">
        <v>95</v>
      </c>
      <c r="I14" s="5" t="inlineStr">
        <is>
          <t>Engineer Review</t>
        </is>
      </c>
      <c r="J14" s="8" t="inlineStr">
        <is>
          <t>Sheet H.1 removal callout: "REMOVE WATER MAIN - 5 LF (FOR INSTALLATION OF NEW TEE)"</t>
        </is>
      </c>
      <c r="K14" s="8" t="inlineStr">
        <is>
          <t>Explicit removal callout quantity.</t>
        </is>
      </c>
    </row>
    <row r="15">
      <c r="A15" s="3" t="inlineStr">
        <is>
          <t>Grading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5" t="n">
        <v>10</v>
      </c>
      <c r="B16" s="5" t="inlineStr">
        <is>
          <t>120.001</t>
        </is>
      </c>
      <c r="C16" s="6" t="inlineStr">
        <is>
          <t>Unclassified Excavation</t>
        </is>
      </c>
      <c r="D16" s="5" t="inlineStr">
        <is>
          <t>CY</t>
        </is>
      </c>
      <c r="E16" s="7" t="n">
        <v>20</v>
      </c>
      <c r="F16" s="8" t="inlineStr"/>
      <c r="G16" s="8" t="inlineStr"/>
      <c r="H16" s="9" t="n">
        <v>95</v>
      </c>
      <c r="I16" s="5" t="inlineStr">
        <is>
          <t>Engineer Review</t>
        </is>
      </c>
      <c r="J16" s="8" t="inlineStr">
        <is>
          <t>Sheet D3, UNCLASSIFIED EXCAVATION - DIGOUTS</t>
        </is>
      </c>
      <c r="K16" s="8" t="inlineStr">
        <is>
          <t>Explicitly stated: estimated quantity of 20 cubic yards included in the plans.</t>
        </is>
      </c>
    </row>
    <row r="17">
      <c r="A17" s="3" t="inlineStr">
        <is>
          <t>Surfacing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n">
        <v>11</v>
      </c>
      <c r="B18" s="5" t="inlineStr">
        <is>
          <t>110.101</t>
        </is>
      </c>
      <c r="C18" s="6" t="inlineStr">
        <is>
          <t>Remove Asphalt Concrete Pavement</t>
        </is>
      </c>
      <c r="D18" s="5" t="inlineStr">
        <is>
          <t>SY</t>
        </is>
      </c>
      <c r="E18" s="7" t="n">
        <v>416</v>
      </c>
      <c r="F18" s="8" t="inlineStr"/>
      <c r="G18" s="8" t="inlineStr"/>
      <c r="H18" s="9" t="n">
        <v>93</v>
      </c>
      <c r="I18" s="5" t="inlineStr">
        <is>
          <t>Engineer Review</t>
        </is>
      </c>
      <c r="J18" s="8" t="inlineStr">
        <is>
          <t>Sheet C.1 proposed W. 50th Street typical section applies STA 2+88 to STA 3+98, with 17.0 Ft each side of centerline and 5-inch asphalt concrete (2 lifts).</t>
        </is>
      </c>
      <c r="K18" s="8" t="inlineStr">
        <is>
          <t>Width 34 Ft × length (398 - 288) Ft / 9 = 415.6 SqYd, rounded to 416 SqYd.</t>
        </is>
      </c>
    </row>
    <row r="19">
      <c r="A19" s="5" t="n">
        <v>12</v>
      </c>
      <c r="B19" s="5" t="inlineStr">
        <is>
          <t>Special</t>
        </is>
      </c>
      <c r="C19" s="6" t="inlineStr">
        <is>
          <t>12-inch Aggregate Base Course</t>
        </is>
      </c>
      <c r="D19" s="5" t="inlineStr">
        <is>
          <t>CY</t>
        </is>
      </c>
      <c r="E19" s="7" t="n">
        <v>139</v>
      </c>
      <c r="F19" s="8" t="inlineStr"/>
      <c r="G19" s="8" t="inlineStr"/>
      <c r="H19" s="9" t="n">
        <v>93</v>
      </c>
      <c r="I19" s="5" t="inlineStr">
        <is>
          <t>Engineer Review</t>
        </is>
      </c>
      <c r="J19" s="8" t="inlineStr">
        <is>
          <t>Sheet C.1 proposed W. 50th Street typical section applies STA 2+88 to STA 3+98, with 34 Ft total pavement width and 12-inch base course.</t>
        </is>
      </c>
      <c r="K19" s="8" t="inlineStr">
        <is>
          <t>34 Ft × 110 Ft × 1 Ft / 27 = 138.5 CuYd, rounded to 139 CuYd. — not matched to AutoVAD master template (Bid Item List 2026.xlsx)</t>
        </is>
      </c>
    </row>
    <row r="20">
      <c r="A20" s="3" t="inlineStr">
        <is>
          <t>Curb, Gutter &amp; Sidewalk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5" t="n">
        <v>13</v>
      </c>
      <c r="B21" s="5" t="inlineStr">
        <is>
          <t>650.7</t>
        </is>
      </c>
      <c r="C21" s="6" t="inlineStr">
        <is>
          <t>Concrete Curb &amp; Gutter Type SF66</t>
        </is>
      </c>
      <c r="D21" s="5" t="inlineStr">
        <is>
          <t>LF</t>
        </is>
      </c>
      <c r="E21" s="7" t="n">
        <v>220</v>
      </c>
      <c r="F21" s="8" t="inlineStr"/>
      <c r="G21" s="8" t="inlineStr"/>
      <c r="H21" s="9" t="n">
        <v>93</v>
      </c>
      <c r="I21" s="5" t="inlineStr">
        <is>
          <t>Engineer Review</t>
        </is>
      </c>
      <c r="J21" s="8" t="inlineStr">
        <is>
          <t>Sheet C.1 proposed W. 50th Street typical section labels SF66 curb and gutter on both sides from STA 2+88 to STA 3+98.</t>
        </is>
      </c>
      <c r="K21" s="8" t="inlineStr">
        <is>
          <t>110 Ft station length × 2 sides = 220 Ft.</t>
        </is>
      </c>
    </row>
    <row r="22">
      <c r="A22" s="3" t="inlineStr">
        <is>
          <t>Storm Sewer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n">
        <v>14</v>
      </c>
      <c r="B23" s="5" t="inlineStr">
        <is>
          <t>110.04</t>
        </is>
      </c>
      <c r="C23" s="6" t="inlineStr">
        <is>
          <t>Remove Drop Inlet</t>
        </is>
      </c>
      <c r="D23" s="5" t="inlineStr">
        <is>
          <t>EA</t>
        </is>
      </c>
      <c r="E23" s="7" t="n">
        <v>2</v>
      </c>
      <c r="F23" s="8" t="inlineStr"/>
      <c r="G23" s="8" t="inlineStr"/>
      <c r="H23" s="9" t="n">
        <v>93</v>
      </c>
      <c r="I23" s="5" t="inlineStr">
        <is>
          <t>Engineer Review</t>
        </is>
      </c>
      <c r="J23" s="8" t="inlineStr">
        <is>
          <t>Sheet I.2 purple drop inlet callouts for DI #1 and B1 #1 each state "1 EA - TYPE B FRAME AND GRATE ASSEMBLY".</t>
        </is>
      </c>
      <c r="K23" s="8" t="inlineStr">
        <is>
          <t>Two individually called-out proposed drop inlet locations.</t>
        </is>
      </c>
    </row>
    <row r="24">
      <c r="A24" s="3" t="inlineStr">
        <is>
          <t>Watermain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n">
        <v>15</v>
      </c>
      <c r="B25" s="5" t="inlineStr">
        <is>
          <t>900.0201</t>
        </is>
      </c>
      <c r="C25" s="6" t="inlineStr">
        <is>
          <t>6" C900 DR 18 PVC Water Main</t>
        </is>
      </c>
      <c r="D25" s="5" t="inlineStr">
        <is>
          <t>LF</t>
        </is>
      </c>
      <c r="E25" s="7" t="n">
        <v>14</v>
      </c>
      <c r="F25" s="8" t="inlineStr"/>
      <c r="G25" s="8" t="inlineStr"/>
      <c r="H25" s="9" t="n">
        <v>95</v>
      </c>
      <c r="I25" s="5" t="inlineStr">
        <is>
          <t>Engineer Review</t>
        </is>
      </c>
      <c r="J25" s="8" t="inlineStr">
        <is>
          <t>Sheet I.1, water-main station callouts: 5 LF from STA. 0+47.38 - 33.71 LT and 9 LF from STA. 0+47.38 - 33.71 LT to STA. 0+67.39 - 33.90 LT</t>
        </is>
      </c>
      <c r="K25" s="8" t="inlineStr">
        <is>
          <t>5 Ft + 9 Ft = 14 Ft; extracted from explicit plan callouts.</t>
        </is>
      </c>
    </row>
    <row r="26">
      <c r="A26" s="5" t="n">
        <v>16</v>
      </c>
      <c r="B26" s="5" t="inlineStr">
        <is>
          <t>900.0202</t>
        </is>
      </c>
      <c r="C26" s="6" t="inlineStr">
        <is>
          <t>8" C900 DR 18 PVC Water Main</t>
        </is>
      </c>
      <c r="D26" s="5" t="inlineStr">
        <is>
          <t>LF</t>
        </is>
      </c>
      <c r="E26" s="7" t="n">
        <v>85</v>
      </c>
      <c r="F26" s="8" t="inlineStr"/>
      <c r="G26" s="8" t="inlineStr"/>
      <c r="H26" s="9" t="n">
        <v>95</v>
      </c>
      <c r="I26" s="5" t="inlineStr">
        <is>
          <t>Engineer Review</t>
        </is>
      </c>
      <c r="J26" s="8" t="inlineStr">
        <is>
          <t>Sheet I.1, water-main station callouts: 11 LF, 22 FT, and 52 LF of 8 in C900 PVC watermain</t>
        </is>
      </c>
      <c r="K26" s="8" t="inlineStr">
        <is>
          <t>11 Ft + 22 Ft + 52 Ft = 85 Ft; extracted from explicit plan callouts.</t>
        </is>
      </c>
    </row>
    <row r="27">
      <c r="A27" s="5" t="n">
        <v>17</v>
      </c>
      <c r="B27" s="5" t="inlineStr">
        <is>
          <t>900.0302</t>
        </is>
      </c>
      <c r="C27" s="6" t="inlineStr">
        <is>
          <t>8" Restrained Joint PVC Pipe</t>
        </is>
      </c>
      <c r="D27" s="5" t="inlineStr">
        <is>
          <t>LF</t>
        </is>
      </c>
      <c r="E27" s="7" t="n">
        <v>244</v>
      </c>
      <c r="F27" s="8" t="inlineStr"/>
      <c r="G27" s="8" t="inlineStr"/>
      <c r="H27" s="9" t="n">
        <v>95</v>
      </c>
      <c r="I27" s="5" t="inlineStr">
        <is>
          <t>Engineer Review</t>
        </is>
      </c>
      <c r="J27" s="8" t="inlineStr">
        <is>
          <t>Sheet I.1, STA. 0+67.39 - 33.90 LT to STA. 3+12.08 - 34.95 LT callout</t>
        </is>
      </c>
      <c r="K27" s="8" t="inlineStr">
        <is>
          <t>Extracted from callout: 244 LF install restrained joint 8 in C900 PVC watermain.</t>
        </is>
      </c>
    </row>
    <row r="28">
      <c r="A28" s="5" t="n">
        <v>18</v>
      </c>
      <c r="B28" s="5" t="inlineStr">
        <is>
          <t>900.1702</t>
        </is>
      </c>
      <c r="C28" s="6" t="inlineStr">
        <is>
          <t>8" Water Main Adjustment</t>
        </is>
      </c>
      <c r="D28" s="5" t="inlineStr">
        <is>
          <t>EA</t>
        </is>
      </c>
      <c r="E28" s="7" t="n">
        <v>1</v>
      </c>
      <c r="F28" s="8" t="inlineStr"/>
      <c r="G28" s="8" t="inlineStr"/>
      <c r="H28" s="9" t="n">
        <v>93</v>
      </c>
      <c r="I28" s="5" t="inlineStr">
        <is>
          <t>Engineer Review</t>
        </is>
      </c>
      <c r="J28" s="8" t="inlineStr">
        <is>
          <t>Sheet I.1, STA. 3+12.08 - 34.95 LT to STA. 3+31.08 - 35.04 LT callout: 1 EA - 8 in Watermain Adjustment</t>
        </is>
      </c>
      <c r="K28" s="8" t="inlineStr">
        <is>
          <t>Extracted from explicit plan callout. | validation: unit 'ea' may be inconsistent for item type</t>
        </is>
      </c>
    </row>
    <row r="29">
      <c r="A29" s="5" t="n">
        <v>19</v>
      </c>
      <c r="B29" s="5" t="inlineStr">
        <is>
          <t>950.57</t>
        </is>
      </c>
      <c r="C29" s="6" t="inlineStr">
        <is>
          <t>Locating Utility</t>
        </is>
      </c>
      <c r="D29" s="5" t="inlineStr">
        <is>
          <t>EA</t>
        </is>
      </c>
      <c r="E29" s="7" t="n">
        <v>20</v>
      </c>
      <c r="F29" s="8" t="inlineStr"/>
      <c r="G29" s="8" t="inlineStr"/>
      <c r="H29" s="9" t="n">
        <v>85</v>
      </c>
      <c r="I29" s="5" t="inlineStr">
        <is>
          <t>Engineer Review</t>
        </is>
      </c>
      <c r="J29" s="8" t="inlineStr">
        <is>
          <t>Sheet D2, LOCATING UTILITY</t>
        </is>
      </c>
      <c r="K29" s="8" t="inlineStr">
        <is>
          <t>Explicitly stated: 20 locates are estimated for this project. | validation: unit 'ea' may be inconsistent for item type</t>
        </is>
      </c>
    </row>
    <row r="30">
      <c r="A30" s="5" t="n">
        <v>20</v>
      </c>
      <c r="B30" s="5" t="inlineStr">
        <is>
          <t>950.571</t>
        </is>
      </c>
      <c r="C30" s="6" t="inlineStr">
        <is>
          <t>Verify Utility</t>
        </is>
      </c>
      <c r="D30" s="5" t="inlineStr">
        <is>
          <t>EA</t>
        </is>
      </c>
      <c r="E30" s="7" t="n">
        <v>3</v>
      </c>
      <c r="F30" s="8" t="inlineStr"/>
      <c r="G30" s="8" t="inlineStr"/>
      <c r="H30" s="9" t="n">
        <v>85</v>
      </c>
      <c r="I30" s="5" t="inlineStr">
        <is>
          <t>Engineer Review</t>
        </is>
      </c>
      <c r="J30" s="8" t="inlineStr">
        <is>
          <t>Sheet D2, VERIFY UTILITY</t>
        </is>
      </c>
      <c r="K30" s="8" t="inlineStr">
        <is>
          <t>Explicitly stated: 3 verifications are estimated for this project. | validation: unit 'ea' may be inconsistent for item type</t>
        </is>
      </c>
    </row>
    <row r="31">
      <c r="A31" s="5" t="n">
        <v>21</v>
      </c>
      <c r="B31" s="5" t="inlineStr">
        <is>
          <t>975.1</t>
        </is>
      </c>
      <c r="C31" s="6" t="inlineStr">
        <is>
          <t>Trenchless Construction</t>
        </is>
      </c>
      <c r="D31" s="5" t="inlineStr">
        <is>
          <t>LF</t>
        </is>
      </c>
      <c r="E31" s="7" t="n">
        <v>489</v>
      </c>
      <c r="F31" s="8" t="inlineStr"/>
      <c r="G31" s="8" t="inlineStr"/>
      <c r="H31" s="9" t="n">
        <v>93</v>
      </c>
      <c r="I31" s="5" t="inlineStr">
        <is>
          <t>Engineer Review</t>
        </is>
      </c>
      <c r="J31" s="8" t="inlineStr">
        <is>
          <t>Sheet D5, TRENCHLESS CONSTRUCTION – WATER callout: Sta. 0+67 to Sta. 3+12</t>
        </is>
      </c>
      <c r="K31" s="8" t="inlineStr">
        <is>
          <t>Station calculation: 3+12 - 0+67 = 245 Ft. Sheet D4 also states approximately 244 Ft of proposed water main will be trenchless construction.</t>
        </is>
      </c>
    </row>
    <row r="32">
      <c r="A32" s="5" t="n">
        <v>22</v>
      </c>
      <c r="B32" s="5" t="inlineStr">
        <is>
          <t>975.11</t>
        </is>
      </c>
      <c r="C32" s="6" t="inlineStr">
        <is>
          <t>Casing Pipe</t>
        </is>
      </c>
      <c r="D32" s="5" t="inlineStr">
        <is>
          <t>LF</t>
        </is>
      </c>
      <c r="E32" s="7" t="n">
        <v>12</v>
      </c>
      <c r="F32" s="8" t="inlineStr"/>
      <c r="G32" s="8" t="inlineStr"/>
      <c r="H32" s="9" t="n">
        <v>95</v>
      </c>
      <c r="I32" s="5" t="inlineStr">
        <is>
          <t>Engineer Review</t>
        </is>
      </c>
      <c r="J32" s="8" t="inlineStr">
        <is>
          <t>Sheet I.1, STA. 3+12.08 - 34.95 LT to STA. 3+31.08 - 35.04 LT callout</t>
        </is>
      </c>
      <c r="K32" s="8" t="inlineStr">
        <is>
          <t>Extracted from callout: 12 FT of 16 in casing pipe.</t>
        </is>
      </c>
    </row>
    <row r="33">
      <c r="A33" s="3" t="inlineStr">
        <is>
          <t>Sanitary Sewer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n">
        <v>23</v>
      </c>
      <c r="B34" s="5" t="inlineStr">
        <is>
          <t>110.0465</t>
        </is>
      </c>
      <c r="C34" s="6" t="inlineStr">
        <is>
          <t>Abandon Sanitary Sewer Manhole</t>
        </is>
      </c>
      <c r="D34" s="5" t="inlineStr">
        <is>
          <t>EA</t>
        </is>
      </c>
      <c r="E34" s="7" t="n">
        <v>1</v>
      </c>
      <c r="F34" s="8" t="inlineStr"/>
      <c r="G34" s="8" t="inlineStr"/>
      <c r="H34" s="9" t="n">
        <v>95</v>
      </c>
      <c r="I34" s="5" t="inlineStr">
        <is>
          <t>Engineer Review</t>
        </is>
      </c>
      <c r="J34" s="8" t="inlineStr">
        <is>
          <t>Sheet D3, SANITARY SEWER - GENERAL, Item 1</t>
        </is>
      </c>
      <c r="K34" s="8" t="inlineStr">
        <is>
          <t>Explicitly stated: installation of a new manhole on an existing 10 inch sewer main.</t>
        </is>
      </c>
    </row>
    <row r="35">
      <c r="A35" s="5" t="n">
        <v>24</v>
      </c>
      <c r="B35" s="5" t="inlineStr">
        <is>
          <t>950.0102</t>
        </is>
      </c>
      <c r="C35" s="6" t="inlineStr">
        <is>
          <t>8" Sanitary Sewer Pipe 8' to 10' Deep</t>
        </is>
      </c>
      <c r="D35" s="5" t="inlineStr">
        <is>
          <t>LF</t>
        </is>
      </c>
      <c r="E35" s="7" t="n">
        <v>402</v>
      </c>
      <c r="F35" s="8" t="inlineStr"/>
      <c r="G35" s="8" t="inlineStr"/>
      <c r="H35" s="9" t="n">
        <v>95</v>
      </c>
      <c r="I35" s="5" t="inlineStr">
        <is>
          <t>Engineer Review</t>
        </is>
      </c>
      <c r="J35" s="8" t="inlineStr">
        <is>
          <t>Sheet I.2 plan callouts list 269 LF from STA 0+50.27 to STA 3+19.12 and 133 LF from STA 3+19.12 to STA 4+52.43; profile also labels "402 LF 8" S @ 0.40%".</t>
        </is>
      </c>
      <c r="K35" s="8" t="inlineStr">
        <is>
          <t>269 Ft + 133 Ft = 402 Ft; matches profile total.</t>
        </is>
      </c>
    </row>
    <row r="36">
      <c r="A36" s="5" t="n">
        <v>25</v>
      </c>
      <c r="B36" s="5" t="inlineStr">
        <is>
          <t>950.02</t>
        </is>
      </c>
      <c r="C36" s="6" t="inlineStr">
        <is>
          <t>10" Sanitary Sewer Pipe 0' to 6' Deep</t>
        </is>
      </c>
      <c r="D36" s="5" t="inlineStr">
        <is>
          <t>LF</t>
        </is>
      </c>
      <c r="E36" s="7" t="n">
        <v>50</v>
      </c>
      <c r="F36" s="8" t="inlineStr"/>
      <c r="G36" s="8" t="inlineStr"/>
      <c r="H36" s="9" t="n">
        <v>95</v>
      </c>
      <c r="I36" s="5" t="inlineStr">
        <is>
          <t>Engineer Review</t>
        </is>
      </c>
      <c r="J36" s="8" t="inlineStr">
        <is>
          <t>Sheet D3, SANITARY SEWER - GENERAL, Item 1</t>
        </is>
      </c>
      <c r="K36" s="8" t="inlineStr">
        <is>
          <t>Explicitly stated: installation of a new 10 inch sewer main in 50th Street.</t>
        </is>
      </c>
    </row>
    <row r="37">
      <c r="A37" s="5" t="n">
        <v>26</v>
      </c>
      <c r="B37" s="5" t="inlineStr">
        <is>
          <t>950.4</t>
        </is>
      </c>
      <c r="C37" s="6" t="inlineStr">
        <is>
          <t>48" Manhole 0'-6' Deep</t>
        </is>
      </c>
      <c r="D37" s="5" t="inlineStr">
        <is>
          <t>EA</t>
        </is>
      </c>
      <c r="E37" s="7" t="n">
        <v>3</v>
      </c>
      <c r="F37" s="8" t="inlineStr"/>
      <c r="G37" s="8" t="inlineStr"/>
      <c r="H37" s="9" t="n">
        <v>93</v>
      </c>
      <c r="I37" s="5" t="inlineStr">
        <is>
          <t>Engineer Review</t>
        </is>
      </c>
      <c r="J37" s="8" t="inlineStr">
        <is>
          <t>Sheet I.2 green construction callouts identify one 48-inch manhole at STA 0+50.27, one at STA 3+19.12, and one at STA 4+52.43.</t>
        </is>
      </c>
      <c r="K37" s="8" t="inlineStr">
        <is>
          <t>1 Each + 1 Each + 1 Each = 3 Each.</t>
        </is>
      </c>
    </row>
    <row r="38">
      <c r="A38" s="5" t="n">
        <v>27</v>
      </c>
      <c r="B38" s="5" t="inlineStr">
        <is>
          <t>950.491</t>
        </is>
      </c>
      <c r="C38" s="6" t="inlineStr">
        <is>
          <t>Reconnect Sewer Service</t>
        </is>
      </c>
      <c r="D38" s="5" t="inlineStr">
        <is>
          <t>EA</t>
        </is>
      </c>
      <c r="E38" s="7" t="n">
        <v>3</v>
      </c>
      <c r="F38" s="8" t="inlineStr"/>
      <c r="G38" s="8" t="inlineStr"/>
      <c r="H38" s="9" t="n">
        <v>93</v>
      </c>
      <c r="I38" s="5" t="inlineStr">
        <is>
          <t>Engineer Review</t>
        </is>
      </c>
      <c r="J38" s="8" t="inlineStr">
        <is>
          <t>Sheet D3, SANITARY SEWER - GENERAL, Item 1</t>
        </is>
      </c>
      <c r="K38" s="8" t="inlineStr">
        <is>
          <t>Explicitly stated: reconnection of 3 sanitary sewer services. | validation: unit 'ea' may be inconsistent for item type</t>
        </is>
      </c>
    </row>
    <row r="39">
      <c r="A39" s="5" t="n">
        <v>28</v>
      </c>
      <c r="B39" s="5" t="inlineStr">
        <is>
          <t>950.55</t>
        </is>
      </c>
      <c r="C39" s="6" t="inlineStr">
        <is>
          <t>Sanitary Sewer Pipe Insulation</t>
        </is>
      </c>
      <c r="D39" s="5" t="inlineStr">
        <is>
          <t>LF</t>
        </is>
      </c>
      <c r="E39" s="7" t="n">
        <v>161</v>
      </c>
      <c r="F39" s="8" t="inlineStr"/>
      <c r="G39" s="8" t="inlineStr"/>
      <c r="H39" s="9" t="n">
        <v>95</v>
      </c>
      <c r="I39" s="5" t="inlineStr">
        <is>
          <t>Engineer Review</t>
        </is>
      </c>
      <c r="J39" s="8" t="inlineStr">
        <is>
          <t>Sheet I.2 callout: "75 LF - SANITARY SEWER PIPE INSULATION"; profile identifies the insulated segment near STA 4+52.</t>
        </is>
      </c>
      <c r="K39" s="8" t="inlineStr">
        <is>
          <t>Explicit plan callout quantity.</t>
        </is>
      </c>
    </row>
    <row r="40">
      <c r="A40" s="5" t="n">
        <v>29</v>
      </c>
      <c r="B40" s="5" t="inlineStr">
        <is>
          <t>950.56</t>
        </is>
      </c>
      <c r="C40" s="6" t="inlineStr">
        <is>
          <t>Manhole Exfiltration\Vacuum Test</t>
        </is>
      </c>
      <c r="D40" s="5" t="inlineStr">
        <is>
          <t>EA</t>
        </is>
      </c>
      <c r="E40" s="7" t="n">
        <v>3</v>
      </c>
      <c r="F40" s="8" t="inlineStr"/>
      <c r="G40" s="8" t="inlineStr"/>
      <c r="H40" s="9" t="n">
        <v>93</v>
      </c>
      <c r="I40" s="5" t="inlineStr">
        <is>
          <t>Engineer Review</t>
        </is>
      </c>
      <c r="J40" s="8" t="inlineStr">
        <is>
          <t>Sheet I.2 lists "1 EA - MANHOLE EXFILTRATION/VACUUM TEST" at each of the three proposed 48-inch manhole callout groups.</t>
        </is>
      </c>
      <c r="K40" s="8" t="inlineStr">
        <is>
          <t>1 Each + 1 Each + 1 Each = 3 Each.</t>
        </is>
      </c>
    </row>
    <row r="41">
      <c r="A41" s="5" t="n">
        <v>30</v>
      </c>
      <c r="B41" s="5" t="inlineStr">
        <is>
          <t>950.561</t>
        </is>
      </c>
      <c r="C41" s="6" t="inlineStr">
        <is>
          <t>Sanitary Sewer Exfiltration Testing</t>
        </is>
      </c>
      <c r="D41" s="5" t="inlineStr">
        <is>
          <t>LF</t>
        </is>
      </c>
      <c r="E41" s="7" t="n">
        <v>402</v>
      </c>
      <c r="F41" s="8" t="inlineStr"/>
      <c r="G41" s="8" t="inlineStr"/>
      <c r="H41" s="9" t="n">
        <v>93</v>
      </c>
      <c r="I41" s="5" t="inlineStr">
        <is>
          <t>Engineer Review</t>
        </is>
      </c>
      <c r="J41" s="8" t="inlineStr">
        <is>
          <t>Sheet I.2 callouts list 269 LF and 133 LF of sanitary sewer exfiltration testing corresponding to the proposed 8-inch main segments.</t>
        </is>
      </c>
      <c r="K41" s="8" t="inlineStr">
        <is>
          <t>269 Ft + 133 Ft = 402 Ft.</t>
        </is>
      </c>
    </row>
    <row r="42">
      <c r="A42" s="3" t="inlineStr">
        <is>
          <t>Landscaping &amp; Irrigation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5" t="n">
        <v>31</v>
      </c>
      <c r="B43" s="5" t="inlineStr">
        <is>
          <t>110.5021</t>
        </is>
      </c>
      <c r="C43" s="6" t="inlineStr">
        <is>
          <t>Salvage Traffic Sign for Reset</t>
        </is>
      </c>
      <c r="D43" s="5" t="inlineStr">
        <is>
          <t>EA</t>
        </is>
      </c>
      <c r="E43" s="7" t="n">
        <v>5</v>
      </c>
      <c r="F43" s="8" t="inlineStr"/>
      <c r="G43" s="8" t="inlineStr"/>
      <c r="H43" s="9" t="n">
        <v>93</v>
      </c>
      <c r="I43" s="5" t="inlineStr">
        <is>
          <t>Engineer Review</t>
        </is>
      </c>
      <c r="J43" s="8" t="inlineStr">
        <is>
          <t>Sheet G.3 callout: "SALVAGE AND RESET PLANTS - 5 EACH".</t>
        </is>
      </c>
      <c r="K43" s="8" t="inlineStr">
        <is>
          <t>Directly extracted from plan callout. | validation: unit 'ea' may be inconsistent for item type</t>
        </is>
      </c>
    </row>
    <row r="44">
      <c r="A44" s="5" t="n">
        <v>32</v>
      </c>
      <c r="B44" s="5" t="inlineStr">
        <is>
          <t>Special</t>
        </is>
      </c>
      <c r="C44" s="6" t="inlineStr">
        <is>
          <t>Remove &amp; Reset Landscaping</t>
        </is>
      </c>
      <c r="D44" s="5" t="inlineStr">
        <is>
          <t>SY</t>
        </is>
      </c>
      <c r="E44" s="7" t="n">
        <v>26</v>
      </c>
      <c r="F44" s="8" t="inlineStr"/>
      <c r="G44" s="8" t="inlineStr"/>
      <c r="H44" s="9" t="n">
        <v>95</v>
      </c>
      <c r="I44" s="5" t="inlineStr">
        <is>
          <t>Engineer Review</t>
        </is>
      </c>
      <c r="J44" s="8" t="inlineStr">
        <is>
          <t>Sheet G.3 callout: "REMOVE &amp; RESET LANDSCAPING - 26 SY".</t>
        </is>
      </c>
      <c r="K44" s="8" t="inlineStr">
        <is>
          <t>Directly extracted from plan callout. — not matched to AutoVAD master template (Bid Item List 2026.xlsx)</t>
        </is>
      </c>
    </row>
  </sheetData>
  <mergeCells count="11">
    <mergeCell ref="A22:K22"/>
    <mergeCell ref="A3:K3"/>
    <mergeCell ref="A20:K20"/>
    <mergeCell ref="A15:K15"/>
    <mergeCell ref="A24:K24"/>
    <mergeCell ref="A33:K33"/>
    <mergeCell ref="A42:K42"/>
    <mergeCell ref="A5:K5"/>
    <mergeCell ref="A1:K1"/>
    <mergeCell ref="A17:K17"/>
    <mergeCell ref="A9:K9"/>
  </mergeCells>
  <conditionalFormatting sqref="I3:I44">
    <cfRule type="cellIs" priority="1" operator="equal" dxfId="0" stopIfTrue="1">
      <formula>"Verified"</formula>
    </cfRule>
    <cfRule type="cellIs" priority="2" operator="equal" dxfId="1" stopIfTrue="1">
      <formula>"Engineer Review"</formula>
    </cfRule>
  </conditionalFormatting>
  <dataValidations count="1">
    <dataValidation sqref="I3:I44" showDropDown="0" showInputMessage="0" showErrorMessage="1" allowBlank="0" errorTitle="Invalid status" error="Choose Verified or Engineer Review" type="list">
      <formula1>"Verified,Engineer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12" customWidth="1" min="4" max="4"/>
    <col width="28" customWidth="1" min="5" max="5"/>
    <col width="40" customWidth="1" min="6" max="6"/>
  </cols>
  <sheetData>
    <row r="1">
      <c r="A1" s="2" t="inlineStr">
        <is>
          <t>Bid Item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Quantity</t>
        </is>
      </c>
      <c r="E1" s="2" t="inlineStr">
        <is>
          <t>Detail Source</t>
        </is>
      </c>
      <c r="F1" s="2" t="inlineStr">
        <is>
          <t>Rollup Note</t>
        </is>
      </c>
    </row>
    <row r="2">
      <c r="A2" t="inlineStr">
        <is>
          <t>No CAD utility detail yet. Process DWG/DXF, then re-export — summary quantities are generated from Linear + Fittings detail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8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22" customWidth="1" min="11" max="11"/>
    <col width="16" customWidth="1" min="12" max="12"/>
    <col width="22" customWidth="1" min="13" max="13"/>
  </cols>
  <sheetData>
    <row r="1">
      <c r="A1" s="2" t="inlineStr">
        <is>
          <t>Item</t>
        </is>
      </c>
      <c r="B1" s="2" t="inlineStr">
        <is>
          <t>Size</t>
        </is>
      </c>
      <c r="C1" s="2" t="inlineStr">
        <is>
          <t>From Sta.</t>
        </is>
      </c>
      <c r="D1" s="2" t="inlineStr">
        <is>
          <t>To Sta.</t>
        </is>
      </c>
      <c r="E1" s="2" t="inlineStr">
        <is>
          <t>Side</t>
        </is>
      </c>
      <c r="F1" s="2" t="inlineStr">
        <is>
          <t>Offset</t>
        </is>
      </c>
      <c r="G1" s="2" t="inlineStr">
        <is>
          <t>From Offset</t>
        </is>
      </c>
      <c r="H1" s="2" t="inlineStr">
        <is>
          <t>To Offset</t>
        </is>
      </c>
      <c r="I1" s="2" t="inlineStr">
        <is>
          <t>Length (LF)</t>
        </is>
      </c>
      <c r="J1" s="2" t="inlineStr">
        <is>
          <t>Non-Parallel</t>
        </is>
      </c>
      <c r="K1" s="2" t="inlineStr">
        <is>
          <t>Alignment (CL)</t>
        </is>
      </c>
      <c r="L1" s="2" t="inlineStr">
        <is>
          <t>Layer</t>
        </is>
      </c>
      <c r="M1" s="2" t="inlineStr">
        <is>
          <t>Source</t>
        </is>
      </c>
    </row>
    <row r="2">
      <c r="A2" t="inlineStr">
        <is>
          <t>No linear utility runs found. Process CAD with pipes/polylines or station callouts. Stationing is always on the project CENTERLINE.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22" customWidth="1" min="7" max="7"/>
    <col width="16" customWidth="1" min="8" max="8"/>
    <col width="6" customWidth="1" min="9" max="9"/>
    <col width="22" customWidth="1" min="10" max="10"/>
    <col width="16" customWidth="1" min="11" max="11"/>
    <col width="20" customWidth="1" min="12" max="12"/>
  </cols>
  <sheetData>
    <row r="1">
      <c r="A1" s="2" t="inlineStr">
        <is>
          <t>Type</t>
        </is>
      </c>
      <c r="B1" s="2" t="inlineStr">
        <is>
          <t>Size</t>
        </is>
      </c>
      <c r="C1" s="2" t="inlineStr">
        <is>
          <t>Station</t>
        </is>
      </c>
      <c r="D1" s="2" t="inlineStr">
        <is>
          <t>Side</t>
        </is>
      </c>
      <c r="E1" s="2" t="inlineStr">
        <is>
          <t>Offset</t>
        </is>
      </c>
      <c r="F1" s="2" t="inlineStr">
        <is>
          <t>Angle/Type</t>
        </is>
      </c>
      <c r="G1" s="2" t="inlineStr">
        <is>
          <t>Connects To</t>
        </is>
      </c>
      <c r="H1" s="2" t="inlineStr">
        <is>
          <t>Utility</t>
        </is>
      </c>
      <c r="I1" s="2" t="inlineStr">
        <is>
          <t>Qty</t>
        </is>
      </c>
      <c r="J1" s="2" t="inlineStr">
        <is>
          <t>Alignment (CL)</t>
        </is>
      </c>
      <c r="K1" s="2" t="inlineStr">
        <is>
          <t>Layer</t>
        </is>
      </c>
      <c r="L1" s="2" t="inlineStr">
        <is>
          <t>Source</t>
        </is>
      </c>
    </row>
    <row r="2">
      <c r="A2" t="inlineStr">
        <is>
          <t>No bends/fittings/connections located. Process CAD with fitting blocks or pipe polylines that deflect at vertices.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24" customWidth="1" min="4" max="4"/>
    <col width="18" customWidth="1" min="5" max="5"/>
    <col width="40" customWidth="1" min="6" max="6"/>
  </cols>
  <sheetData>
    <row r="1">
      <c r="A1" s="2" t="inlineStr">
        <is>
          <t>Severity</t>
        </is>
      </c>
      <c r="B1" s="2" t="inlineStr">
        <is>
          <t>Issue</t>
        </is>
      </c>
      <c r="C1" s="2" t="inlineStr">
        <is>
          <t>Message</t>
        </is>
      </c>
      <c r="D1" s="2" t="inlineStr">
        <is>
          <t>Object</t>
        </is>
      </c>
      <c r="E1" s="2" t="inlineStr">
        <is>
          <t>Station</t>
        </is>
      </c>
      <c r="F1" s="2" t="inlineStr">
        <is>
          <t>Suggestion</t>
        </is>
      </c>
    </row>
    <row r="2">
      <c r="A2" t="inlineStr">
        <is>
          <t>No QA flags. Process CAD to populate stationing QA (unidentified fittings, unassociated lines, overlaps, low confidence).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Of Quantities Title</t>
        </is>
      </c>
      <c r="B1" t="inlineStr">
        <is>
          <t>Test123 - Estimate Of Quantities v1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Status</t>
        </is>
      </c>
      <c r="B3" t="inlineStr">
        <is>
          <t>ai_generated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Notes</t>
        </is>
      </c>
      <c r="B5" t="inlineStr">
        <is>
          <t>Generated from document AI + CAD with CSI codes, units, and confidence scores. Matched extracted quantities to AutoVAD master template (Bid Item List 2026.xlsx) (29 matched item(s); 2 unmatched takeoff item(s)). Deterministic validation: Flagged 5 unit-sanity mismatch row(s) for engineer review.</t>
        </is>
      </c>
    </row>
    <row r="6">
      <c r="A6" t="inlineStr">
        <is>
          <t>Generated by</t>
        </is>
      </c>
      <c r="B6" t="inlineStr">
        <is>
          <t>AutoVAD</t>
        </is>
      </c>
    </row>
    <row r="7">
      <c r="A7" t="inlineStr">
        <is>
          <t>Layout</t>
        </is>
      </c>
      <c r="B7" t="inlineStr">
        <is>
          <t>Full Estimate Of Quantities columns with municipal section grouping (Removals, Grading, Watermain, Sanitary Sewer, …)</t>
        </is>
      </c>
    </row>
    <row r="8">
      <c r="A8" t="inlineStr">
        <is>
          <t>Utility sheets</t>
        </is>
      </c>
      <c r="B8" t="inlineStr">
        <is>
          <t>Bid Quantity Summary is rolled up FROM Linear Quantity Breakdown + Fittings Bends Connections. Stationing is always on the project CENTERLINE (CL); LT/RT from alignment geometry. Quantity QAQC flags unassociated / overlapping / low-confidence items.</t>
        </is>
      </c>
    </row>
    <row r="9">
      <c r="A9" t="inlineStr">
        <is>
          <t>Template rule</t>
        </is>
      </c>
      <c r="B9" t="inlineStr">
        <is>
          <t>AutoVAD standard template is always used for project EOQ generation</t>
        </is>
      </c>
    </row>
    <row r="10">
      <c r="A10" t="inlineStr">
        <is>
          <t>Status rule</t>
        </is>
      </c>
      <c r="B10" t="inlineStr">
        <is>
          <t>Verified when AI confidence &gt;= 97; else Engineer Review</t>
        </is>
      </c>
    </row>
    <row r="11">
      <c r="A11" t="inlineStr">
        <is>
          <t>Columns</t>
        </is>
      </c>
      <c r="B11" t="inlineStr">
        <is>
          <t>Item Number, Standard Bid Item Number, Item Description, Unit, Quantity, Cost, Total Cost, AI Confidence, Status, Source, Calculation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2026-10-02T15:31:18Z</dcterms:created>
  <dcterms:modified xmlns:dcterms="http://purl.org/dc/terms/" xmlns:xsi="http://www.w3.org/2001/XMLSchema-instance" xsi:type="dcterms:W3CDTF">2026-10-02T15:31:18Z</dcterms:modified>
</cp:coreProperties>
</file>