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 Of Quantities" sheetId="1" state="visible" r:id="rId1"/>
    <sheet xmlns:r="http://schemas.openxmlformats.org/officeDocument/2006/relationships" name="Bid Quantity Summary" sheetId="2" state="visible" r:id="rId2"/>
    <sheet xmlns:r="http://schemas.openxmlformats.org/officeDocument/2006/relationships" name="Linear Quantity Breakdown" sheetId="3" state="visible" r:id="rId3"/>
    <sheet xmlns:r="http://schemas.openxmlformats.org/officeDocument/2006/relationships" name="Fittings Bends Connections" sheetId="4" state="visible" r:id="rId4"/>
    <sheet xmlns:r="http://schemas.openxmlformats.org/officeDocument/2006/relationships" name="Quantity QAQC" sheetId="5" state="visible" r:id="rId5"/>
    <sheet xmlns:r="http://schemas.openxmlformats.org/officeDocument/2006/relationships"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E8EEF4"/>
      <sz val="14"/>
    </font>
    <font>
      <b val="1"/>
      <color rgb="001EB6FF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06101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2" fontId="0" fillId="0" borderId="1" applyAlignment="1" pivotButton="0" quotePrefix="0" xfId="0">
      <alignment horizontal="right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28" customWidth="1" min="10" max="10"/>
    <col width="28" customWidth="1" min="11" max="11"/>
  </cols>
  <sheetData>
    <row r="1" ht="26" customHeight="1">
      <c r="A1" s="1" t="inlineStr">
        <is>
          <t>ESTIMATE OF QUANTITIES</t>
        </is>
      </c>
    </row>
    <row r="2">
      <c r="A2" s="2" t="inlineStr">
        <is>
          <t>Item Number</t>
        </is>
      </c>
      <c r="B2" s="2" t="inlineStr">
        <is>
          <t>Standard Bid Item Number</t>
        </is>
      </c>
      <c r="C2" s="2" t="inlineStr">
        <is>
          <t>Item Description</t>
        </is>
      </c>
      <c r="D2" s="2" t="inlineStr">
        <is>
          <t>Unit</t>
        </is>
      </c>
      <c r="E2" s="2" t="inlineStr">
        <is>
          <t>Quantity</t>
        </is>
      </c>
      <c r="F2" s="2" t="inlineStr">
        <is>
          <t>Cost</t>
        </is>
      </c>
      <c r="G2" s="2" t="inlineStr">
        <is>
          <t>Total Cost</t>
        </is>
      </c>
      <c r="H2" s="2" t="inlineStr">
        <is>
          <t>AI Confidence</t>
        </is>
      </c>
      <c r="I2" s="2" t="inlineStr">
        <is>
          <t>Status</t>
        </is>
      </c>
      <c r="J2" s="2" t="inlineStr">
        <is>
          <t>Source</t>
        </is>
      </c>
      <c r="K2" s="2" t="inlineStr">
        <is>
          <t>Calculation Method</t>
        </is>
      </c>
    </row>
    <row r="3">
      <c r="A3" s="3" t="inlineStr">
        <is>
          <t>General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n">
        <v>1</v>
      </c>
      <c r="B4" s="5" t="inlineStr">
        <is>
          <t>9.001</t>
        </is>
      </c>
      <c r="C4" s="6" t="inlineStr">
        <is>
          <t>Mobilization</t>
        </is>
      </c>
      <c r="D4" s="5" t="inlineStr">
        <is>
          <t>LS</t>
        </is>
      </c>
      <c r="E4" s="7" t="n">
        <v>1</v>
      </c>
      <c r="F4" s="8" t="inlineStr"/>
      <c r="G4" s="8" t="inlineStr"/>
      <c r="H4" s="9" t="n">
        <v>97</v>
      </c>
      <c r="I4" s="5" t="inlineStr">
        <is>
          <t>Verified</t>
        </is>
      </c>
      <c r="J4" s="8" t="inlineStr">
        <is>
          <t>Bid line 9.001</t>
        </is>
      </c>
      <c r="K4" s="8" t="inlineStr">
        <is>
          <t>Standard lump-sum pay item — 1 LS on every project</t>
        </is>
      </c>
    </row>
    <row r="5">
      <c r="A5" s="3" t="inlineStr">
        <is>
          <t>Traffic Control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>
        <v>2</v>
      </c>
      <c r="B6" s="5" t="inlineStr">
        <is>
          <t>634.0265</t>
        </is>
      </c>
      <c r="C6" s="6" t="inlineStr">
        <is>
          <t>Type 3 Barricade, 6' Double Sided</t>
        </is>
      </c>
      <c r="D6" s="5" t="inlineStr">
        <is>
          <t>EA</t>
        </is>
      </c>
      <c r="E6" s="7" t="n">
        <v>12</v>
      </c>
      <c r="F6" s="8" t="inlineStr"/>
      <c r="G6" s="8" t="inlineStr"/>
      <c r="H6" s="9" t="n">
        <v>95</v>
      </c>
      <c r="I6" s="5" t="inlineStr">
        <is>
          <t>Engineer Review</t>
        </is>
      </c>
      <c r="J6" s="8" t="inlineStr">
        <is>
          <t>Sheet F.2, itemized traffic-control list: "TYPE 3 BARRICADES, 8' DOUBLE SIDED" quantity shown as "12 EACH."</t>
        </is>
      </c>
      <c r="K6" s="8" t="inlineStr">
        <is>
          <t>Printed quantity: 12 Each.</t>
        </is>
      </c>
    </row>
    <row r="7">
      <c r="A7" s="3" t="inlineStr">
        <is>
          <t>Removals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5" t="n">
        <v>3</v>
      </c>
      <c r="B8" s="5" t="inlineStr">
        <is>
          <t>110.197</t>
        </is>
      </c>
      <c r="C8" s="6" t="inlineStr">
        <is>
          <t>Remove Water Main</t>
        </is>
      </c>
      <c r="D8" s="5" t="inlineStr">
        <is>
          <t>LF</t>
        </is>
      </c>
      <c r="E8" s="7" t="n">
        <v>5</v>
      </c>
      <c r="F8" s="8" t="inlineStr"/>
      <c r="G8" s="8" t="inlineStr"/>
      <c r="H8" s="9" t="n">
        <v>95</v>
      </c>
      <c r="I8" s="5" t="inlineStr">
        <is>
          <t>Engineer Review</t>
        </is>
      </c>
      <c r="J8" s="8" t="inlineStr">
        <is>
          <t>Sheet H.1 callout at S. Western Avenue: "REMOVE WATER MAIN - 5 LF (FOR INSTALLATION OF NEW TEE)".</t>
        </is>
      </c>
      <c r="K8" s="8" t="inlineStr">
        <is>
          <t>Quantity explicitly called out on removal plan.</t>
        </is>
      </c>
    </row>
    <row r="9">
      <c r="A9" s="3" t="inlineStr">
        <is>
          <t>Grading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5" t="n">
        <v>4</v>
      </c>
      <c r="B10" s="5" t="inlineStr">
        <is>
          <t>120.001</t>
        </is>
      </c>
      <c r="C10" s="6" t="inlineStr">
        <is>
          <t>Unclassified Excavation</t>
        </is>
      </c>
      <c r="D10" s="5" t="inlineStr">
        <is>
          <t>CY</t>
        </is>
      </c>
      <c r="E10" s="7" t="n">
        <v>20</v>
      </c>
      <c r="F10" s="8" t="inlineStr"/>
      <c r="G10" s="8" t="inlineStr"/>
      <c r="H10" s="9" t="n">
        <v>95</v>
      </c>
      <c r="I10" s="5" t="inlineStr">
        <is>
          <t>Engineer Review</t>
        </is>
      </c>
      <c r="J10" s="8" t="inlineStr">
        <is>
          <t>Sheet D3, GRADING notes, subsection “UNCLASSIFIED EXCAVATION - DIGOUTS.”</t>
        </is>
      </c>
      <c r="K10" s="8" t="inlineStr">
        <is>
          <t>Explicit note quantity: “An estimated quantity of 20 cubic yards of ‘Unclassified Excavation – Digouts’ has been included in the plans...”</t>
        </is>
      </c>
    </row>
    <row r="11">
      <c r="A11" s="5" t="n">
        <v>5</v>
      </c>
      <c r="B11" s="5" t="inlineStr">
        <is>
          <t>230.001</t>
        </is>
      </c>
      <c r="C11" s="6" t="inlineStr">
        <is>
          <t>Placing Topsoil</t>
        </is>
      </c>
      <c r="D11" s="5" t="inlineStr">
        <is>
          <t>CY</t>
        </is>
      </c>
      <c r="E11" s="7" t="n">
        <v>403.33</v>
      </c>
      <c r="F11" s="8" t="inlineStr"/>
      <c r="G11" s="8" t="inlineStr"/>
      <c r="H11" s="9" t="n">
        <v>93</v>
      </c>
      <c r="I11" s="5" t="inlineStr">
        <is>
          <t>Engineer Review</t>
        </is>
      </c>
      <c r="J11" s="8" t="inlineStr">
        <is>
          <t>G1 Permanent Erosion Control Measures, "TOPSOIL": topsoil placed over all disturbed areas to a depth of 6 inches; G1 "AREA AND VOLUME DISTURBED" states 0.54 acres disturbed.</t>
        </is>
      </c>
      <c r="K11" s="8" t="inlineStr">
        <is>
          <t>0.54 Acre × 43,560 SqFt/Acre × 0.5 Ft ÷ 27 = 435.60 CuYd; however, this sheet does not distinguish paved disturbed area from area requiring topsoil.</t>
        </is>
      </c>
    </row>
    <row r="12">
      <c r="A12" s="3" t="inlineStr">
        <is>
          <t>Erosion Control / Restoration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n">
        <v>6</v>
      </c>
      <c r="B13" s="5" t="inlineStr">
        <is>
          <t>120.63</t>
        </is>
      </c>
      <c r="C13" s="6" t="inlineStr">
        <is>
          <t>Water For Vegetation</t>
        </is>
      </c>
      <c r="D13" s="5" t="inlineStr">
        <is>
          <t>MGAL</t>
        </is>
      </c>
      <c r="E13" s="7" t="n">
        <v>93</v>
      </c>
      <c r="F13" s="8" t="inlineStr"/>
      <c r="G13" s="8" t="inlineStr"/>
      <c r="H13" s="9" t="n">
        <v>95</v>
      </c>
      <c r="I13" s="5" t="inlineStr">
        <is>
          <t>Engineer Review</t>
        </is>
      </c>
      <c r="J13" s="8" t="inlineStr">
        <is>
          <t>Sheet G2, WATERING note: "Included in the estimate of quantities is 93 MGAL's of water for vegetation for the seeded areas."</t>
        </is>
      </c>
      <c r="K13" s="8" t="inlineStr">
        <is>
          <t>Explicit quantity stated in the drawing note; no calculation performed. | Drawing check 3 Each vs schedule 93 MGal (schedule quantity kept; Sheet G.3 legend identifies IP as "INLET PROTECTION (PER STD. DETAIL LISTED)"; three IP symbols are shown, at callouts (734.10) and two locations labeled (734.16).).</t>
        </is>
      </c>
    </row>
    <row r="14">
      <c r="A14" s="3" t="inlineStr">
        <is>
          <t>Surfacing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5" t="n">
        <v>7</v>
      </c>
      <c r="B15" s="5" t="inlineStr">
        <is>
          <t>320.121</t>
        </is>
      </c>
      <c r="C15" s="6" t="inlineStr">
        <is>
          <t>Asphalt Concrete Composite, PG58-28</t>
        </is>
      </c>
      <c r="D15" s="5" t="inlineStr">
        <is>
          <t>TON</t>
        </is>
      </c>
      <c r="E15" s="7" t="n">
        <v>113</v>
      </c>
      <c r="F15" s="8" t="inlineStr"/>
      <c r="G15" s="8" t="inlineStr"/>
      <c r="H15" s="9" t="n">
        <v>93</v>
      </c>
      <c r="I15" s="5" t="inlineStr">
        <is>
          <t>Engineer Review</t>
        </is>
      </c>
      <c r="J15" s="8" t="inlineStr">
        <is>
          <t>Proposed Typical Section - W. 50th Street, STA. 2+88 TO 3+98: 17.0 ft each side of centerline, 5 in Asphalt Conc. (2 lifts).</t>
        </is>
      </c>
      <c r="K15" s="8" t="inlineStr">
        <is>
          <t>Length = 3+98 - 2+88 = 110 Ft. Width = 17 Ft + 17 Ft = 34 Ft. Volume = 34 x 110 x (5/12) / 27 = 57.72 CuYd. Converted using assumed HMA density of 145 pcf: 57.72 x 27 x 145 / 2,000 = 113.0 Ton. | validation: unit 't' may be inconsistent for item type</t>
        </is>
      </c>
    </row>
    <row r="16">
      <c r="A16" s="5" t="n">
        <v>8</v>
      </c>
      <c r="B16" s="5" t="inlineStr">
        <is>
          <t>831.005</t>
        </is>
      </c>
      <c r="C16" s="6" t="inlineStr">
        <is>
          <t>Geotextile Fabric For Subgrade Stabilization</t>
        </is>
      </c>
      <c r="D16" s="5" t="inlineStr">
        <is>
          <t>SY</t>
        </is>
      </c>
      <c r="E16" s="7" t="n">
        <v>415.6</v>
      </c>
      <c r="F16" s="8" t="inlineStr"/>
      <c r="G16" s="8" t="inlineStr"/>
      <c r="H16" s="9" t="n">
        <v>93</v>
      </c>
      <c r="I16" s="5" t="inlineStr">
        <is>
          <t>Engineer Review</t>
        </is>
      </c>
      <c r="J16" s="8" t="inlineStr">
        <is>
          <t>Proposed Typical Section - W. 50th Street, STA. 2+88 TO 3+98: Geotextile Fabric beneath 12 in Base Course across 34 ft roadway width.</t>
        </is>
      </c>
      <c r="K16" s="8" t="inlineStr">
        <is>
          <t>Length = 110 Ft. Width = 34 Ft. Area = 34 x 110 / 9 = 415.56 SqYd.</t>
        </is>
      </c>
    </row>
    <row r="17">
      <c r="A17" s="3" t="inlineStr">
        <is>
          <t>Curb, Gutter &amp; Sidewalk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n">
        <v>9</v>
      </c>
      <c r="B18" s="5" t="inlineStr">
        <is>
          <t>650.7</t>
        </is>
      </c>
      <c r="C18" s="6" t="inlineStr">
        <is>
          <t>Concrete Curb &amp; Gutter Type SF66</t>
        </is>
      </c>
      <c r="D18" s="5" t="inlineStr">
        <is>
          <t>LF</t>
        </is>
      </c>
      <c r="E18" s="7" t="n">
        <v>220</v>
      </c>
      <c r="F18" s="8" t="inlineStr"/>
      <c r="G18" s="8" t="inlineStr"/>
      <c r="H18" s="9" t="n">
        <v>93</v>
      </c>
      <c r="I18" s="5" t="inlineStr">
        <is>
          <t>Engineer Review</t>
        </is>
      </c>
      <c r="J18" s="8" t="inlineStr">
        <is>
          <t>Proposed Typical Section - W. 50th Street, STA. 2+88 TO 3+98: SF66 Curb &amp; Gutter shown at both roadway edges.</t>
        </is>
      </c>
      <c r="K18" s="8" t="inlineStr">
        <is>
          <t>Length = 3+98 - 2+88 = 110 Ft. Two curb-and-gutter lines: 110 x 2 = 220 Ft.</t>
        </is>
      </c>
    </row>
    <row r="19">
      <c r="A19" s="3" t="inlineStr">
        <is>
          <t>Storm Sewer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n">
        <v>10</v>
      </c>
      <c r="B20" s="5" t="inlineStr">
        <is>
          <t>110.053</t>
        </is>
      </c>
      <c r="C20" s="6" t="inlineStr">
        <is>
          <t>Remove Storm Sewer Pipe</t>
        </is>
      </c>
      <c r="D20" s="5" t="inlineStr">
        <is>
          <t>LF</t>
        </is>
      </c>
      <c r="E20" s="7" t="n">
        <v>6</v>
      </c>
      <c r="F20" s="8" t="inlineStr"/>
      <c r="G20" s="8" t="inlineStr"/>
      <c r="H20" s="9" t="n">
        <v>95</v>
      </c>
      <c r="I20" s="5" t="inlineStr">
        <is>
          <t>Engineer Review</t>
        </is>
      </c>
      <c r="J20" s="8" t="inlineStr">
        <is>
          <t>Sheet H.1 callout: "REMOVE STORM SEWER - 6 LF (FOR INSTALLATION OF DROP INLET)".</t>
        </is>
      </c>
      <c r="K20" s="8" t="inlineStr">
        <is>
          <t>Quantity explicitly called out on removal plan.</t>
        </is>
      </c>
    </row>
    <row r="21">
      <c r="A21" s="5" t="n">
        <v>11</v>
      </c>
      <c r="B21" s="5" t="inlineStr">
        <is>
          <t>462.01</t>
        </is>
      </c>
      <c r="C21" s="6" t="inlineStr">
        <is>
          <t>Class M6 Concrete</t>
        </is>
      </c>
      <c r="D21" s="5" t="inlineStr">
        <is>
          <t>CY</t>
        </is>
      </c>
      <c r="E21" s="7" t="n">
        <v>6.61</v>
      </c>
      <c r="F21" s="8" t="inlineStr"/>
      <c r="G21" s="8" t="inlineStr"/>
      <c r="H21" s="9" t="n">
        <v>93</v>
      </c>
      <c r="I21" s="5" t="inlineStr">
        <is>
          <t>Engineer Review</t>
        </is>
      </c>
      <c r="J21" s="8" t="inlineStr">
        <is>
          <t>Estimated Quantities table; 6' Long inlet; 15" Dia. outlet; Constant column</t>
        </is>
      </c>
      <c r="K21" s="8" t="inlineStr">
        <is>
          <t>Extracted from Estimated Quantities table | Drawing check 3.96 CuYd vs schedule 1.72 CuYd (schedule quantity kept; Purple callouts: B1#1 = 3.04 CUYD Class M6 Concrete; DI#1 = 0.92 CUYD Class M6 Concrete.). | validation: unit 'cy' may be inconsistent for item type</t>
        </is>
      </c>
    </row>
    <row r="22">
      <c r="A22" s="5" t="n">
        <v>12</v>
      </c>
      <c r="B22" s="5" t="inlineStr">
        <is>
          <t>950.4805</t>
        </is>
      </c>
      <c r="C22" s="6" t="inlineStr">
        <is>
          <t>15" Boots For Manhole</t>
        </is>
      </c>
      <c r="D22" s="5" t="inlineStr">
        <is>
          <t>EA</t>
        </is>
      </c>
      <c r="E22" s="7" t="n">
        <v>1</v>
      </c>
      <c r="F22" s="8" t="inlineStr"/>
      <c r="G22" s="8" t="inlineStr"/>
      <c r="H22" s="9" t="n">
        <v>95</v>
      </c>
      <c r="I22" s="5" t="inlineStr">
        <is>
          <t>Engineer Review</t>
        </is>
      </c>
      <c r="J22" s="8" t="inlineStr">
        <is>
          <t>Estimated Quantities table; 6' Long inlet; 15" Dia. outlet; Constant column</t>
        </is>
      </c>
      <c r="K22" s="8" t="inlineStr">
        <is>
          <t>Extracted from Estimated Quantities table</t>
        </is>
      </c>
    </row>
    <row r="23">
      <c r="A23" s="5" t="n">
        <v>13</v>
      </c>
      <c r="B23" s="5" t="inlineStr">
        <is>
          <t>950.4806</t>
        </is>
      </c>
      <c r="C23" s="6" t="inlineStr">
        <is>
          <t>18" Boots For Manhole</t>
        </is>
      </c>
      <c r="D23" s="5" t="inlineStr">
        <is>
          <t>EA</t>
        </is>
      </c>
      <c r="E23" s="7" t="n">
        <v>1</v>
      </c>
      <c r="F23" s="8" t="inlineStr"/>
      <c r="G23" s="8" t="inlineStr"/>
      <c r="H23" s="9" t="n">
        <v>95</v>
      </c>
      <c r="I23" s="5" t="inlineStr">
        <is>
          <t>Engineer Review</t>
        </is>
      </c>
      <c r="J23" s="8" t="inlineStr">
        <is>
          <t>Estimated Quantities table; 6' Long inlet; 18" Dia. outlet; Constant column</t>
        </is>
      </c>
      <c r="K23" s="8" t="inlineStr">
        <is>
          <t>Extracted from Estimated Quantities table</t>
        </is>
      </c>
    </row>
    <row r="24">
      <c r="A24" s="5" t="n">
        <v>14</v>
      </c>
      <c r="B24" s="5" t="inlineStr">
        <is>
          <t>950.4808</t>
        </is>
      </c>
      <c r="C24" s="6" t="inlineStr">
        <is>
          <t>24" Boots For Manhole</t>
        </is>
      </c>
      <c r="D24" s="5" t="inlineStr">
        <is>
          <t>EA</t>
        </is>
      </c>
      <c r="E24" s="7" t="n">
        <v>1</v>
      </c>
      <c r="F24" s="8" t="inlineStr"/>
      <c r="G24" s="8" t="inlineStr"/>
      <c r="H24" s="9" t="n">
        <v>95</v>
      </c>
      <c r="I24" s="5" t="inlineStr">
        <is>
          <t>Engineer Review</t>
        </is>
      </c>
      <c r="J24" s="8" t="inlineStr">
        <is>
          <t>Estimated Quantities table; 6' Long inlet; 24" Dia. outlet; Constant column</t>
        </is>
      </c>
      <c r="K24" s="8" t="inlineStr">
        <is>
          <t>Extracted from Estimated Quantities table</t>
        </is>
      </c>
    </row>
    <row r="25">
      <c r="A25" s="5" t="n">
        <v>15</v>
      </c>
      <c r="B25" s="5" t="inlineStr">
        <is>
          <t>Special</t>
        </is>
      </c>
      <c r="C25" s="6" t="inlineStr">
        <is>
          <t>Reinforcement-conc. masonry — 15" Dia. outlet, Constant</t>
        </is>
      </c>
      <c r="D25" s="5" t="inlineStr">
        <is>
          <t>LB</t>
        </is>
      </c>
      <c r="E25" s="7" t="n">
        <v>278</v>
      </c>
      <c r="F25" s="8" t="inlineStr"/>
      <c r="G25" s="8" t="inlineStr"/>
      <c r="H25" s="9" t="n">
        <v>93</v>
      </c>
      <c r="I25" s="5" t="inlineStr">
        <is>
          <t>Engineer Review</t>
        </is>
      </c>
      <c r="J25" s="8" t="inlineStr">
        <is>
          <t>Estimated Quantities table; 6' Long inlet; 15" Dia. outlet; Constant column</t>
        </is>
      </c>
      <c r="K25" s="8" t="inlineStr">
        <is>
          <t>Extracted from Estimated Quantities table | validation: unit 'lb' may be inconsistent for item type — not matched to AutoVAD master template (Bid Item List 2026.xlsx)</t>
        </is>
      </c>
    </row>
    <row r="26">
      <c r="A26" s="5" t="n">
        <v>16</v>
      </c>
      <c r="B26" s="5" t="inlineStr">
        <is>
          <t>Special</t>
        </is>
      </c>
      <c r="C26" s="6" t="inlineStr">
        <is>
          <t>Reinforcement-conc. masonry — 15" Dia. outlet, Variable</t>
        </is>
      </c>
      <c r="D26" s="5" t="inlineStr">
        <is>
          <t>LB</t>
        </is>
      </c>
      <c r="E26" s="7" t="n">
        <v>43.9</v>
      </c>
      <c r="F26" s="8" t="inlineStr"/>
      <c r="G26" s="8" t="inlineStr"/>
      <c r="H26" s="9" t="n">
        <v>93</v>
      </c>
      <c r="I26" s="5" t="inlineStr">
        <is>
          <t>Engineer Review</t>
        </is>
      </c>
      <c r="J26" s="8" t="inlineStr">
        <is>
          <t>Estimated Quantities table; 6' Long inlet; 15" Dia. outlet; Variable column</t>
        </is>
      </c>
      <c r="K26" s="8" t="inlineStr">
        <is>
          <t>Extracted from Estimated Quantities table | validation: unit 'lb' may be inconsistent for item type — not matched to AutoVAD master template (Bid Item List 2026.xlsx)</t>
        </is>
      </c>
    </row>
    <row r="27">
      <c r="A27" s="5" t="n">
        <v>17</v>
      </c>
      <c r="B27" s="5" t="inlineStr">
        <is>
          <t>Special</t>
        </is>
      </c>
      <c r="C27" s="6" t="inlineStr">
        <is>
          <t>Reinforcement-conc. masonry — 18" Dia. outlet, Constant</t>
        </is>
      </c>
      <c r="D27" s="5" t="inlineStr">
        <is>
          <t>LB</t>
        </is>
      </c>
      <c r="E27" s="7" t="n">
        <v>290</v>
      </c>
      <c r="F27" s="8" t="inlineStr"/>
      <c r="G27" s="8" t="inlineStr"/>
      <c r="H27" s="9" t="n">
        <v>93</v>
      </c>
      <c r="I27" s="5" t="inlineStr">
        <is>
          <t>Engineer Review</t>
        </is>
      </c>
      <c r="J27" s="8" t="inlineStr">
        <is>
          <t>Estimated Quantities table; 6' Long inlet; 18" Dia. outlet; Constant column</t>
        </is>
      </c>
      <c r="K27" s="8" t="inlineStr">
        <is>
          <t>Extracted from Estimated Quantities table | validation: unit 'lb' may be inconsistent for item type — not matched to AutoVAD master template (Bid Item List 2026.xlsx)</t>
        </is>
      </c>
    </row>
    <row r="28">
      <c r="A28" s="5" t="n">
        <v>18</v>
      </c>
      <c r="B28" s="5" t="inlineStr">
        <is>
          <t>Special</t>
        </is>
      </c>
      <c r="C28" s="6" t="inlineStr">
        <is>
          <t>Reinforcement-conc. masonry — 18" Dia. outlet, Variable</t>
        </is>
      </c>
      <c r="D28" s="5" t="inlineStr">
        <is>
          <t>LB</t>
        </is>
      </c>
      <c r="E28" s="7" t="n">
        <v>43.9</v>
      </c>
      <c r="F28" s="8" t="inlineStr"/>
      <c r="G28" s="8" t="inlineStr"/>
      <c r="H28" s="9" t="n">
        <v>93</v>
      </c>
      <c r="I28" s="5" t="inlineStr">
        <is>
          <t>Engineer Review</t>
        </is>
      </c>
      <c r="J28" s="8" t="inlineStr">
        <is>
          <t>Estimated Quantities table; 6' Long inlet; 18" Dia. outlet; Variable column</t>
        </is>
      </c>
      <c r="K28" s="8" t="inlineStr">
        <is>
          <t>Extracted from Estimated Quantities table | validation: unit 'lb' may be inconsistent for item type — not matched to AutoVAD master template (Bid Item List 2026.xlsx)</t>
        </is>
      </c>
    </row>
    <row r="29">
      <c r="A29" s="5" t="n">
        <v>19</v>
      </c>
      <c r="B29" s="5" t="inlineStr">
        <is>
          <t>Special</t>
        </is>
      </c>
      <c r="C29" s="6" t="inlineStr">
        <is>
          <t>Reinforcement-conc. masonry — 24" Dia. outlet, Constant</t>
        </is>
      </c>
      <c r="D29" s="5" t="inlineStr">
        <is>
          <t>LB</t>
        </is>
      </c>
      <c r="E29" s="7" t="n">
        <v>303</v>
      </c>
      <c r="F29" s="8" t="inlineStr"/>
      <c r="G29" s="8" t="inlineStr"/>
      <c r="H29" s="9" t="n">
        <v>93</v>
      </c>
      <c r="I29" s="5" t="inlineStr">
        <is>
          <t>Engineer Review</t>
        </is>
      </c>
      <c r="J29" s="8" t="inlineStr">
        <is>
          <t>Estimated Quantities table; 6' Long inlet; 24" Dia. outlet; Constant column</t>
        </is>
      </c>
      <c r="K29" s="8" t="inlineStr">
        <is>
          <t>Extracted from Estimated Quantities table | validation: unit 'lb' may be inconsistent for item type — not matched to AutoVAD master template (Bid Item List 2026.xlsx)</t>
        </is>
      </c>
    </row>
    <row r="30">
      <c r="A30" s="5" t="n">
        <v>20</v>
      </c>
      <c r="B30" s="5" t="inlineStr">
        <is>
          <t>Special</t>
        </is>
      </c>
      <c r="C30" s="6" t="inlineStr">
        <is>
          <t>Reinforcement-conc. masonry — 24" Dia. outlet, Variable</t>
        </is>
      </c>
      <c r="D30" s="5" t="inlineStr">
        <is>
          <t>LB</t>
        </is>
      </c>
      <c r="E30" s="7" t="n">
        <v>43.9</v>
      </c>
      <c r="F30" s="8" t="inlineStr"/>
      <c r="G30" s="8" t="inlineStr"/>
      <c r="H30" s="9" t="n">
        <v>93</v>
      </c>
      <c r="I30" s="5" t="inlineStr">
        <is>
          <t>Engineer Review</t>
        </is>
      </c>
      <c r="J30" s="8" t="inlineStr">
        <is>
          <t>Estimated Quantities table; 6' Long inlet; 24" Dia. outlet; Variable column</t>
        </is>
      </c>
      <c r="K30" s="8" t="inlineStr">
        <is>
          <t>Extracted from Estimated Quantities table | validation: unit 'lb' may be inconsistent for item type — not matched to AutoVAD master template (Bid Item List 2026.xlsx)</t>
        </is>
      </c>
    </row>
    <row r="31">
      <c r="A31" s="3" t="inlineStr">
        <is>
          <t>Watermain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n">
        <v>21</v>
      </c>
      <c r="B32" s="5" t="inlineStr">
        <is>
          <t>950.57</t>
        </is>
      </c>
      <c r="C32" s="6" t="inlineStr">
        <is>
          <t>Locating Utility</t>
        </is>
      </c>
      <c r="D32" s="5" t="inlineStr">
        <is>
          <t>EA</t>
        </is>
      </c>
      <c r="E32" s="7" t="n">
        <v>20</v>
      </c>
      <c r="F32" s="8" t="inlineStr"/>
      <c r="G32" s="8" t="inlineStr"/>
      <c r="H32" s="9" t="n">
        <v>85</v>
      </c>
      <c r="I32" s="5" t="inlineStr">
        <is>
          <t>Engineer Review</t>
        </is>
      </c>
      <c r="J32" s="8" t="inlineStr">
        <is>
          <t>Sheet D2, GENERAL NOTES, heading "LOCATING UTILITY."</t>
        </is>
      </c>
      <c r="K32" s="8" t="inlineStr">
        <is>
          <t>Explicit note: "20 locates are estimated for this project." | validation: unit 'ea' may be inconsistent for item type</t>
        </is>
      </c>
    </row>
    <row r="33">
      <c r="A33" s="5" t="n">
        <v>22</v>
      </c>
      <c r="B33" s="5" t="inlineStr">
        <is>
          <t>950.571</t>
        </is>
      </c>
      <c r="C33" s="6" t="inlineStr">
        <is>
          <t>Verify Utility</t>
        </is>
      </c>
      <c r="D33" s="5" t="inlineStr">
        <is>
          <t>EA</t>
        </is>
      </c>
      <c r="E33" s="7" t="n">
        <v>3</v>
      </c>
      <c r="F33" s="8" t="inlineStr"/>
      <c r="G33" s="8" t="inlineStr"/>
      <c r="H33" s="9" t="n">
        <v>85</v>
      </c>
      <c r="I33" s="5" t="inlineStr">
        <is>
          <t>Engineer Review</t>
        </is>
      </c>
      <c r="J33" s="8" t="inlineStr">
        <is>
          <t>Sheet D2, GENERAL NOTES, heading "VERIFY UTILITY."</t>
        </is>
      </c>
      <c r="K33" s="8" t="inlineStr">
        <is>
          <t>Explicit note: "3 verifications are estimated for this project." | validation: unit 'ea' may be inconsistent for item type</t>
        </is>
      </c>
    </row>
    <row r="34">
      <c r="A34" s="5" t="n">
        <v>23</v>
      </c>
      <c r="B34" s="5" t="inlineStr">
        <is>
          <t>975.1</t>
        </is>
      </c>
      <c r="C34" s="6" t="inlineStr">
        <is>
          <t>Trenchless Construction</t>
        </is>
      </c>
      <c r="D34" s="5" t="inlineStr">
        <is>
          <t>LF</t>
        </is>
      </c>
      <c r="E34" s="7" t="n">
        <v>244</v>
      </c>
      <c r="F34" s="8" t="inlineStr"/>
      <c r="G34" s="8" t="inlineStr"/>
      <c r="H34" s="9" t="n">
        <v>95</v>
      </c>
      <c r="I34" s="5" t="inlineStr">
        <is>
          <t>Engineer Review</t>
        </is>
      </c>
      <c r="J34" s="8" t="inlineStr">
        <is>
          <t>Sheet D4, WATER MAIN - GENERAL, Note 1: "Approximately 244’ of the proposed main will be trenchless construction (horizontal directional drilling)".</t>
        </is>
      </c>
      <c r="K34" s="8" t="inlineStr">
        <is>
          <t>Directly extracted explicit proposed water-main trenchless construction length: 244 Ft.</t>
        </is>
      </c>
    </row>
    <row r="35">
      <c r="A35" s="3" t="inlineStr">
        <is>
          <t>Sanitary Sewer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5" t="n">
        <v>24</v>
      </c>
      <c r="B36" s="5" t="inlineStr">
        <is>
          <t>110.052</t>
        </is>
      </c>
      <c r="C36" s="6" t="inlineStr">
        <is>
          <t>Remove Sewer Pipe</t>
        </is>
      </c>
      <c r="D36" s="5" t="inlineStr">
        <is>
          <t>LF</t>
        </is>
      </c>
      <c r="E36" s="7" t="n">
        <v>6</v>
      </c>
      <c r="F36" s="8" t="inlineStr"/>
      <c r="G36" s="8" t="inlineStr"/>
      <c r="H36" s="9" t="n">
        <v>95</v>
      </c>
      <c r="I36" s="5" t="inlineStr">
        <is>
          <t>Engineer Review</t>
        </is>
      </c>
      <c r="J36" s="8" t="inlineStr">
        <is>
          <t>Sheet H.1 callout: "REMOVE SANITARY SEWER MAIN - 6 LF (AFTER INSTALLATION OF NEW MANHOLE/MAIN AND SERVICES RECONNECTED)".</t>
        </is>
      </c>
      <c r="K36" s="8" t="inlineStr">
        <is>
          <t>Quantity explicitly called out on removal plan.</t>
        </is>
      </c>
    </row>
    <row r="37">
      <c r="A37" s="5" t="n">
        <v>25</v>
      </c>
      <c r="B37" s="5" t="inlineStr">
        <is>
          <t>110.0525</t>
        </is>
      </c>
      <c r="C37" s="6" t="inlineStr">
        <is>
          <t>Abandon Sanitary Sewer Pipe</t>
        </is>
      </c>
      <c r="D37" s="5" t="inlineStr">
        <is>
          <t>LF</t>
        </is>
      </c>
      <c r="E37" s="7" t="n">
        <v>24</v>
      </c>
      <c r="F37" s="8" t="inlineStr"/>
      <c r="G37" s="8" t="inlineStr"/>
      <c r="H37" s="9" t="n">
        <v>95</v>
      </c>
      <c r="I37" s="5" t="inlineStr">
        <is>
          <t>Engineer Review</t>
        </is>
      </c>
      <c r="J37" s="8" t="inlineStr">
        <is>
          <t>Sheet H.1 callout: "ABANDON SANITARY SEWER PIPE - 24 LF".</t>
        </is>
      </c>
      <c r="K37" s="8" t="inlineStr">
        <is>
          <t>Quantity explicitly called out on removal plan.</t>
        </is>
      </c>
    </row>
    <row r="38">
      <c r="A38" s="5" t="n">
        <v>26</v>
      </c>
      <c r="B38" s="5" t="inlineStr">
        <is>
          <t>110.1461</t>
        </is>
      </c>
      <c r="C38" s="6" t="inlineStr">
        <is>
          <t>Remove Sanitary Sewer Manhole</t>
        </is>
      </c>
      <c r="D38" s="5" t="inlineStr">
        <is>
          <t>EA</t>
        </is>
      </c>
      <c r="E38" s="7" t="n">
        <v>1</v>
      </c>
      <c r="F38" s="8" t="inlineStr"/>
      <c r="G38" s="8" t="inlineStr"/>
      <c r="H38" s="9" t="n">
        <v>95</v>
      </c>
      <c r="I38" s="5" t="inlineStr">
        <is>
          <t>Engineer Review</t>
        </is>
      </c>
      <c r="J38" s="8" t="inlineStr">
        <is>
          <t>Sheet H.1 callout: "REMOVE SANITARY SEWER MANHOLE - 1 EACH".</t>
        </is>
      </c>
      <c r="K38" s="8" t="inlineStr">
        <is>
          <t>Quantity explicitly called out on removal plan.</t>
        </is>
      </c>
    </row>
    <row r="39">
      <c r="A39" s="5" t="n">
        <v>27</v>
      </c>
      <c r="B39" s="5" t="inlineStr">
        <is>
          <t>950.495</t>
        </is>
      </c>
      <c r="C39" s="6" t="inlineStr">
        <is>
          <t>4" Sanitary Sewer Service</t>
        </is>
      </c>
      <c r="D39" s="5" t="inlineStr">
        <is>
          <t>LF</t>
        </is>
      </c>
      <c r="E39" s="7" t="n">
        <v>150</v>
      </c>
      <c r="F39" s="8" t="inlineStr"/>
      <c r="G39" s="8" t="inlineStr"/>
      <c r="H39" s="9" t="n">
        <v>93</v>
      </c>
      <c r="I39" s="5" t="inlineStr">
        <is>
          <t>Engineer Review</t>
        </is>
      </c>
      <c r="J39" s="8" t="inlineStr">
        <is>
          <t>Sewer Main Trench North of Existing Access Drive (to Detention Pond), STA. 3+05 TO 4+55; callout identifies Proposed Sanitary Sewer.</t>
        </is>
      </c>
      <c r="K39" s="8" t="inlineStr">
        <is>
          <t>Pipe/trench work extent = 4+55 - 3+05 = 150 Ft. Pipe diameter and material are not shown on this sheet.</t>
        </is>
      </c>
    </row>
    <row r="40">
      <c r="A40" s="3" t="inlineStr">
        <is>
          <t>Landscaping &amp; Irrigation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5" t="n">
        <v>28</v>
      </c>
      <c r="B41" s="5" t="inlineStr">
        <is>
          <t>110.5021</t>
        </is>
      </c>
      <c r="C41" s="6" t="inlineStr">
        <is>
          <t>Salvage Traffic Sign for Reset</t>
        </is>
      </c>
      <c r="D41" s="5" t="inlineStr">
        <is>
          <t>EA</t>
        </is>
      </c>
      <c r="E41" s="7" t="n">
        <v>5</v>
      </c>
      <c r="F41" s="8" t="inlineStr"/>
      <c r="G41" s="8" t="inlineStr"/>
      <c r="H41" s="9" t="n">
        <v>93</v>
      </c>
      <c r="I41" s="5" t="inlineStr">
        <is>
          <t>Engineer Review</t>
        </is>
      </c>
      <c r="J41" s="8" t="inlineStr">
        <is>
          <t>Sheet G.3 plan callout: "SALVAGE AND RESET PLANTS - 5 EACH".</t>
        </is>
      </c>
      <c r="K41" s="8" t="inlineStr">
        <is>
          <t>Directly extracted from drawing callout. | validation: unit 'ea' may be inconsistent for item type</t>
        </is>
      </c>
    </row>
    <row r="42">
      <c r="A42" s="5" t="n">
        <v>29</v>
      </c>
      <c r="B42" s="5" t="inlineStr">
        <is>
          <t>Special</t>
        </is>
      </c>
      <c r="C42" s="6" t="inlineStr">
        <is>
          <t>Remove &amp; Reset Landscaping</t>
        </is>
      </c>
      <c r="D42" s="5" t="inlineStr">
        <is>
          <t>SY</t>
        </is>
      </c>
      <c r="E42" s="7" t="n">
        <v>26</v>
      </c>
      <c r="F42" s="8" t="inlineStr"/>
      <c r="G42" s="8" t="inlineStr"/>
      <c r="H42" s="9" t="n">
        <v>95</v>
      </c>
      <c r="I42" s="5" t="inlineStr">
        <is>
          <t>Engineer Review</t>
        </is>
      </c>
      <c r="J42" s="8" t="inlineStr">
        <is>
          <t>Sheet G.3 plan callout: "REMOVE &amp; RESET LANDSCAPING - 26 SY".</t>
        </is>
      </c>
      <c r="K42" s="8" t="inlineStr">
        <is>
          <t>Directly extracted from drawing callout. — not matched to AutoVAD master template (Bid Item List 2026.xlsx)</t>
        </is>
      </c>
    </row>
  </sheetData>
  <mergeCells count="12">
    <mergeCell ref="A12:K12"/>
    <mergeCell ref="A35:K35"/>
    <mergeCell ref="A3:K3"/>
    <mergeCell ref="A7:K7"/>
    <mergeCell ref="A19:K19"/>
    <mergeCell ref="A40:K40"/>
    <mergeCell ref="A5:K5"/>
    <mergeCell ref="A14:K14"/>
    <mergeCell ref="A1:K1"/>
    <mergeCell ref="A17:K17"/>
    <mergeCell ref="A9:K9"/>
    <mergeCell ref="A31:K31"/>
  </mergeCells>
  <conditionalFormatting sqref="I3:I42">
    <cfRule type="cellIs" priority="1" operator="equal" dxfId="0" stopIfTrue="1">
      <formula>"Verified"</formula>
    </cfRule>
    <cfRule type="cellIs" priority="2" operator="equal" dxfId="1" stopIfTrue="1">
      <formula>"Engineer Review"</formula>
    </cfRule>
  </conditionalFormatting>
  <dataValidations count="1">
    <dataValidation sqref="I3:I42" showDropDown="0" showInputMessage="0" showErrorMessage="1" allowBlank="0" errorTitle="Invalid status" error="Choose Verified or Engineer Review" type="list">
      <formula1>"Verified,Engineer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8" customWidth="1" min="3" max="3"/>
    <col width="12" customWidth="1" min="4" max="4"/>
    <col width="28" customWidth="1" min="5" max="5"/>
    <col width="40" customWidth="1" min="6" max="6"/>
  </cols>
  <sheetData>
    <row r="1">
      <c r="A1" s="2" t="inlineStr">
        <is>
          <t>Bid Item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Quantity</t>
        </is>
      </c>
      <c r="E1" s="2" t="inlineStr">
        <is>
          <t>Detail Source</t>
        </is>
      </c>
      <c r="F1" s="2" t="inlineStr">
        <is>
          <t>Rollup Note</t>
        </is>
      </c>
    </row>
    <row r="2">
      <c r="A2" t="inlineStr">
        <is>
          <t>No CAD utility detail yet. Process DWG/DXF, then re-export — summary quantities are generated from Linear + Fittings detail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8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22" customWidth="1" min="11" max="11"/>
    <col width="16" customWidth="1" min="12" max="12"/>
    <col width="22" customWidth="1" min="13" max="13"/>
  </cols>
  <sheetData>
    <row r="1">
      <c r="A1" s="2" t="inlineStr">
        <is>
          <t>Item</t>
        </is>
      </c>
      <c r="B1" s="2" t="inlineStr">
        <is>
          <t>Size</t>
        </is>
      </c>
      <c r="C1" s="2" t="inlineStr">
        <is>
          <t>From Sta.</t>
        </is>
      </c>
      <c r="D1" s="2" t="inlineStr">
        <is>
          <t>To Sta.</t>
        </is>
      </c>
      <c r="E1" s="2" t="inlineStr">
        <is>
          <t>Side</t>
        </is>
      </c>
      <c r="F1" s="2" t="inlineStr">
        <is>
          <t>Offset</t>
        </is>
      </c>
      <c r="G1" s="2" t="inlineStr">
        <is>
          <t>From Offset</t>
        </is>
      </c>
      <c r="H1" s="2" t="inlineStr">
        <is>
          <t>To Offset</t>
        </is>
      </c>
      <c r="I1" s="2" t="inlineStr">
        <is>
          <t>Length (LF)</t>
        </is>
      </c>
      <c r="J1" s="2" t="inlineStr">
        <is>
          <t>Non-Parallel</t>
        </is>
      </c>
      <c r="K1" s="2" t="inlineStr">
        <is>
          <t>Alignment (CL)</t>
        </is>
      </c>
      <c r="L1" s="2" t="inlineStr">
        <is>
          <t>Layer</t>
        </is>
      </c>
      <c r="M1" s="2" t="inlineStr">
        <is>
          <t>Source</t>
        </is>
      </c>
    </row>
    <row r="2">
      <c r="A2" t="inlineStr">
        <is>
          <t>No linear utility runs found. Process CAD with pipes/polylines or station callouts. Stationing is always on the project CENTERLINE.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8" customWidth="1" min="4" max="4"/>
    <col width="12" customWidth="1" min="5" max="5"/>
    <col width="12" customWidth="1" min="6" max="6"/>
    <col width="22" customWidth="1" min="7" max="7"/>
    <col width="16" customWidth="1" min="8" max="8"/>
    <col width="6" customWidth="1" min="9" max="9"/>
    <col width="22" customWidth="1" min="10" max="10"/>
    <col width="16" customWidth="1" min="11" max="11"/>
    <col width="20" customWidth="1" min="12" max="12"/>
  </cols>
  <sheetData>
    <row r="1">
      <c r="A1" s="2" t="inlineStr">
        <is>
          <t>Type</t>
        </is>
      </c>
      <c r="B1" s="2" t="inlineStr">
        <is>
          <t>Size</t>
        </is>
      </c>
      <c r="C1" s="2" t="inlineStr">
        <is>
          <t>Station</t>
        </is>
      </c>
      <c r="D1" s="2" t="inlineStr">
        <is>
          <t>Side</t>
        </is>
      </c>
      <c r="E1" s="2" t="inlineStr">
        <is>
          <t>Offset</t>
        </is>
      </c>
      <c r="F1" s="2" t="inlineStr">
        <is>
          <t>Angle/Type</t>
        </is>
      </c>
      <c r="G1" s="2" t="inlineStr">
        <is>
          <t>Connects To</t>
        </is>
      </c>
      <c r="H1" s="2" t="inlineStr">
        <is>
          <t>Utility</t>
        </is>
      </c>
      <c r="I1" s="2" t="inlineStr">
        <is>
          <t>Qty</t>
        </is>
      </c>
      <c r="J1" s="2" t="inlineStr">
        <is>
          <t>Alignment (CL)</t>
        </is>
      </c>
      <c r="K1" s="2" t="inlineStr">
        <is>
          <t>Layer</t>
        </is>
      </c>
      <c r="L1" s="2" t="inlineStr">
        <is>
          <t>Source</t>
        </is>
      </c>
    </row>
    <row r="2">
      <c r="A2" t="inlineStr">
        <is>
          <t>No bends/fittings/connections located. Process CAD with fitting blocks or pipe polylines that deflect at vertices.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24" customWidth="1" min="4" max="4"/>
    <col width="18" customWidth="1" min="5" max="5"/>
    <col width="40" customWidth="1" min="6" max="6"/>
  </cols>
  <sheetData>
    <row r="1">
      <c r="A1" s="2" t="inlineStr">
        <is>
          <t>Severity</t>
        </is>
      </c>
      <c r="B1" s="2" t="inlineStr">
        <is>
          <t>Issue</t>
        </is>
      </c>
      <c r="C1" s="2" t="inlineStr">
        <is>
          <t>Message</t>
        </is>
      </c>
      <c r="D1" s="2" t="inlineStr">
        <is>
          <t>Object</t>
        </is>
      </c>
      <c r="E1" s="2" t="inlineStr">
        <is>
          <t>Station</t>
        </is>
      </c>
      <c r="F1" s="2" t="inlineStr">
        <is>
          <t>Suggestion</t>
        </is>
      </c>
    </row>
    <row r="2">
      <c r="A2" t="inlineStr">
        <is>
          <t>No QA flags. Process CAD to populate stationing QA (unidentified fittings, unassociated lines, overlaps, low confidence).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Of Quantities Title</t>
        </is>
      </c>
      <c r="B1" t="inlineStr">
        <is>
          <t>02/10 - Estimate Of Quantities v1</t>
        </is>
      </c>
    </row>
    <row r="2">
      <c r="A2" t="inlineStr">
        <is>
          <t>Version</t>
        </is>
      </c>
      <c r="B2" t="n">
        <v>1</v>
      </c>
    </row>
    <row r="3">
      <c r="A3" t="inlineStr">
        <is>
          <t>Status</t>
        </is>
      </c>
      <c r="B3" t="inlineStr">
        <is>
          <t>ai_generated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Notes</t>
        </is>
      </c>
      <c r="B5" t="inlineStr">
        <is>
          <t>Generated from document AI + CAD with CSI codes, units, and confidence scores. Matched extracted quantities to AutoVAD master template (Bid Item List 2026.xlsx) (21 matched item(s); 7 unmatched takeoff item(s)). Deterministic validation: Dropped 3 row(s) with non-positive quantity. Flagged 16 unit-sanity mismatch row(s) for engineer review.</t>
        </is>
      </c>
    </row>
    <row r="6">
      <c r="A6" t="inlineStr">
        <is>
          <t>Generated by</t>
        </is>
      </c>
      <c r="B6" t="inlineStr">
        <is>
          <t>AutoVAD</t>
        </is>
      </c>
    </row>
    <row r="7">
      <c r="A7" t="inlineStr">
        <is>
          <t>Layout</t>
        </is>
      </c>
      <c r="B7" t="inlineStr">
        <is>
          <t>Full Estimate Of Quantities columns with municipal section grouping (Removals, Grading, Watermain, Sanitary Sewer, …)</t>
        </is>
      </c>
    </row>
    <row r="8">
      <c r="A8" t="inlineStr">
        <is>
          <t>Utility sheets</t>
        </is>
      </c>
      <c r="B8" t="inlineStr">
        <is>
          <t>Bid Quantity Summary is rolled up FROM Linear Quantity Breakdown + Fittings Bends Connections. Stationing is always on the project CENTERLINE (CL); LT/RT from alignment geometry. Quantity QAQC flags unassociated / overlapping / low-confidence items.</t>
        </is>
      </c>
    </row>
    <row r="9">
      <c r="A9" t="inlineStr">
        <is>
          <t>Template rule</t>
        </is>
      </c>
      <c r="B9" t="inlineStr">
        <is>
          <t>AutoVAD standard template is always used for project EOQ generation</t>
        </is>
      </c>
    </row>
    <row r="10">
      <c r="A10" t="inlineStr">
        <is>
          <t>Status rule</t>
        </is>
      </c>
      <c r="B10" t="inlineStr">
        <is>
          <t>Verified when AI confidence &gt;= 97; else Engineer Review</t>
        </is>
      </c>
    </row>
    <row r="11">
      <c r="A11" t="inlineStr">
        <is>
          <t>Columns</t>
        </is>
      </c>
      <c r="B11" t="inlineStr">
        <is>
          <t>Item Number, Standard Bid Item Number, Item Description, Unit, Quantity, Cost, Total Cost, AI Confidence, Status, Source, Calculation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2026-10-02T16:33:04Z</dcterms:created>
  <dcterms:modified xmlns:dcterms="http://purl.org/dc/terms/" xmlns:xsi="http://www.w3.org/2001/XMLSchema-instance" xsi:type="dcterms:W3CDTF">2026-10-02T16:33:04Z</dcterms:modified>
</cp:coreProperties>
</file>