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 Of Quantities" sheetId="1" state="visible" r:id="rId1"/>
    <sheet xmlns:r="http://schemas.openxmlformats.org/officeDocument/2006/relationships" name="Bid Quantity Summary" sheetId="2" state="visible" r:id="rId2"/>
    <sheet xmlns:r="http://schemas.openxmlformats.org/officeDocument/2006/relationships" name="Linear Quantity Breakdown" sheetId="3" state="visible" r:id="rId3"/>
    <sheet xmlns:r="http://schemas.openxmlformats.org/officeDocument/2006/relationships" name="Fittings Bends Connections" sheetId="4" state="visible" r:id="rId4"/>
    <sheet xmlns:r="http://schemas.openxmlformats.org/officeDocument/2006/relationships" name="Quantity QAQC" sheetId="5" state="visible" r:id="rId5"/>
    <sheet xmlns:r="http://schemas.openxmlformats.org/officeDocument/2006/relationships" name="Me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E8EEF4"/>
      <sz val="14"/>
    </font>
    <font>
      <b val="1"/>
      <color rgb="001EB6FF"/>
    </font>
    <font>
      <name val="Calibri"/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061018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 wrapText="1"/>
    </xf>
    <xf numFmtId="2" fontId="0" fillId="0" borderId="1" applyAlignment="1" pivotButton="0" quotePrefix="0" xfId="0">
      <alignment horizontal="right"/>
    </xf>
    <xf numFmtId="0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10" customWidth="1" min="4" max="4"/>
    <col width="12" customWidth="1" min="5" max="5"/>
    <col width="12" customWidth="1" min="6" max="6"/>
    <col width="12" customWidth="1" min="7" max="7"/>
    <col width="14" customWidth="1" min="8" max="8"/>
    <col width="16" customWidth="1" min="9" max="9"/>
    <col width="28" customWidth="1" min="10" max="10"/>
    <col width="28" customWidth="1" min="11" max="11"/>
  </cols>
  <sheetData>
    <row r="1" ht="26" customHeight="1">
      <c r="A1" s="1" t="inlineStr">
        <is>
          <t>ESTIMATE OF QUANTITIES</t>
        </is>
      </c>
    </row>
    <row r="2">
      <c r="A2" s="2" t="inlineStr">
        <is>
          <t>Item Number</t>
        </is>
      </c>
      <c r="B2" s="2" t="inlineStr">
        <is>
          <t>Standard Bid Item Number</t>
        </is>
      </c>
      <c r="C2" s="2" t="inlineStr">
        <is>
          <t>Item Description</t>
        </is>
      </c>
      <c r="D2" s="2" t="inlineStr">
        <is>
          <t>Unit</t>
        </is>
      </c>
      <c r="E2" s="2" t="inlineStr">
        <is>
          <t>Quantity</t>
        </is>
      </c>
      <c r="F2" s="2" t="inlineStr">
        <is>
          <t>Cost</t>
        </is>
      </c>
      <c r="G2" s="2" t="inlineStr">
        <is>
          <t>Total Cost</t>
        </is>
      </c>
      <c r="H2" s="2" t="inlineStr">
        <is>
          <t>AI Confidence</t>
        </is>
      </c>
      <c r="I2" s="2" t="inlineStr">
        <is>
          <t>Status</t>
        </is>
      </c>
      <c r="J2" s="2" t="inlineStr">
        <is>
          <t>Source</t>
        </is>
      </c>
      <c r="K2" s="2" t="inlineStr">
        <is>
          <t>Calculation Method</t>
        </is>
      </c>
    </row>
    <row r="3">
      <c r="A3" s="3" t="inlineStr">
        <is>
          <t>General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n">
        <v>1</v>
      </c>
      <c r="B4" s="5" t="inlineStr">
        <is>
          <t>9.001</t>
        </is>
      </c>
      <c r="C4" s="6" t="inlineStr">
        <is>
          <t>Mobilization</t>
        </is>
      </c>
      <c r="D4" s="5" t="inlineStr">
        <is>
          <t>LS</t>
        </is>
      </c>
      <c r="E4" s="7" t="n">
        <v>1</v>
      </c>
      <c r="F4" s="8" t="inlineStr"/>
      <c r="G4" s="8" t="inlineStr"/>
      <c r="H4" s="9" t="n">
        <v>97</v>
      </c>
      <c r="I4" s="5" t="inlineStr">
        <is>
          <t>Verified</t>
        </is>
      </c>
      <c r="J4" s="8" t="inlineStr">
        <is>
          <t>Bid line 9.001</t>
        </is>
      </c>
      <c r="K4" s="8" t="inlineStr">
        <is>
          <t>Standard lump-sum pay item — 1 LS on every project</t>
        </is>
      </c>
    </row>
    <row r="5">
      <c r="A5" s="3" t="inlineStr">
        <is>
          <t>Traffic Control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n">
        <v>2</v>
      </c>
      <c r="B6" s="5" t="inlineStr">
        <is>
          <t>634.0265</t>
        </is>
      </c>
      <c r="C6" s="6" t="inlineStr">
        <is>
          <t>Type 3 Barricade, 6' Double Sided</t>
        </is>
      </c>
      <c r="D6" s="5" t="inlineStr">
        <is>
          <t>EA</t>
        </is>
      </c>
      <c r="E6" s="7" t="n">
        <v>4</v>
      </c>
      <c r="F6" s="8" t="inlineStr"/>
      <c r="G6" s="8" t="inlineStr"/>
      <c r="H6" s="9" t="n">
        <v>95</v>
      </c>
      <c r="I6" s="5" t="inlineStr">
        <is>
          <t>Engineer Review</t>
        </is>
      </c>
      <c r="J6" s="8" t="inlineStr">
        <is>
          <t>Sheet F.3 Traffic Control plan callout at W. 51st Street closure: "4 EA - TYPE 3 BARRICADES".</t>
        </is>
      </c>
      <c r="K6" s="8" t="inlineStr">
        <is>
          <t>Directly extracted from explicit plan callout.</t>
        </is>
      </c>
    </row>
    <row r="7">
      <c r="A7" s="3" t="inlineStr">
        <is>
          <t>Removals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5" t="n">
        <v>3</v>
      </c>
      <c r="B8" s="5" t="inlineStr">
        <is>
          <t>110.052</t>
        </is>
      </c>
      <c r="C8" s="6" t="inlineStr">
        <is>
          <t>Remove Sewer Pipe</t>
        </is>
      </c>
      <c r="D8" s="5" t="inlineStr">
        <is>
          <t>LF</t>
        </is>
      </c>
      <c r="E8" s="7" t="n">
        <v>6</v>
      </c>
      <c r="F8" s="8" t="inlineStr"/>
      <c r="G8" s="8" t="inlineStr"/>
      <c r="H8" s="9" t="n">
        <v>95</v>
      </c>
      <c r="I8" s="5" t="inlineStr">
        <is>
          <t>Engineer Review</t>
        </is>
      </c>
      <c r="J8" s="8" t="inlineStr">
        <is>
          <t>Plan callout near center-bottom of removal plan: "REMOVE SANITARY SEWER MAIN - 6 LF (AFTER INSTALLATION OF NEW MANHOLE/MAIN AND SERVICES RECONNECTED)".</t>
        </is>
      </c>
      <c r="K8" s="8" t="inlineStr">
        <is>
          <t>Explicit quantity extracted from plan callout.</t>
        </is>
      </c>
    </row>
    <row r="9">
      <c r="A9" s="5" t="n">
        <v>4</v>
      </c>
      <c r="B9" s="5" t="inlineStr">
        <is>
          <t>110.0525</t>
        </is>
      </c>
      <c r="C9" s="6" t="inlineStr">
        <is>
          <t>Abandon Sanitary Sewer Pipe</t>
        </is>
      </c>
      <c r="D9" s="5" t="inlineStr">
        <is>
          <t>LF</t>
        </is>
      </c>
      <c r="E9" s="7" t="n">
        <v>24</v>
      </c>
      <c r="F9" s="8" t="inlineStr"/>
      <c r="G9" s="8" t="inlineStr"/>
      <c r="H9" s="9" t="n">
        <v>95</v>
      </c>
      <c r="I9" s="5" t="inlineStr">
        <is>
          <t>Engineer Review</t>
        </is>
      </c>
      <c r="J9" s="8" t="inlineStr">
        <is>
          <t>Plan callout near center-bottom of removal plan: "ABANDON SANITARY SEWER PIPE - 24 LF".</t>
        </is>
      </c>
      <c r="K9" s="8" t="inlineStr">
        <is>
          <t>Explicit quantity extracted from plan callout.</t>
        </is>
      </c>
    </row>
    <row r="10">
      <c r="A10" s="5" t="n">
        <v>5</v>
      </c>
      <c r="B10" s="5" t="inlineStr">
        <is>
          <t>110.053</t>
        </is>
      </c>
      <c r="C10" s="6" t="inlineStr">
        <is>
          <t>Remove Storm Sewer Pipe</t>
        </is>
      </c>
      <c r="D10" s="5" t="inlineStr">
        <is>
          <t>LF</t>
        </is>
      </c>
      <c r="E10" s="7" t="n">
        <v>6</v>
      </c>
      <c r="F10" s="8" t="inlineStr"/>
      <c r="G10" s="8" t="inlineStr"/>
      <c r="H10" s="9" t="n">
        <v>95</v>
      </c>
      <c r="I10" s="5" t="inlineStr">
        <is>
          <t>Engineer Review</t>
        </is>
      </c>
      <c r="J10" s="8" t="inlineStr">
        <is>
          <t>Plan callout at southeast portion of removal plan: "REMOVE STORM SEWER - 6 LF (FOR INSTALLATION OF DROP INLET)".</t>
        </is>
      </c>
      <c r="K10" s="8" t="inlineStr">
        <is>
          <t>Explicit quantity extracted from plan callout.</t>
        </is>
      </c>
    </row>
    <row r="11">
      <c r="A11" s="5" t="n">
        <v>6</v>
      </c>
      <c r="B11" s="5" t="inlineStr">
        <is>
          <t>110.1461</t>
        </is>
      </c>
      <c r="C11" s="6" t="inlineStr">
        <is>
          <t>Remove Sanitary Sewer Manhole</t>
        </is>
      </c>
      <c r="D11" s="5" t="inlineStr">
        <is>
          <t>EA</t>
        </is>
      </c>
      <c r="E11" s="7" t="n">
        <v>1</v>
      </c>
      <c r="F11" s="8" t="inlineStr"/>
      <c r="G11" s="8" t="inlineStr"/>
      <c r="H11" s="9" t="n">
        <v>95</v>
      </c>
      <c r="I11" s="5" t="inlineStr">
        <is>
          <t>Engineer Review</t>
        </is>
      </c>
      <c r="J11" s="8" t="inlineStr">
        <is>
          <t>Plan callout near center-bottom of removal plan: "REMOVE SANITARY SEWER MANHOLE - 1 EACH".</t>
        </is>
      </c>
      <c r="K11" s="8" t="inlineStr">
        <is>
          <t>Explicit quantity extracted from plan callout.</t>
        </is>
      </c>
    </row>
    <row r="12">
      <c r="A12" s="5" t="n">
        <v>7</v>
      </c>
      <c r="B12" s="5" t="inlineStr">
        <is>
          <t>110.197</t>
        </is>
      </c>
      <c r="C12" s="6" t="inlineStr">
        <is>
          <t>Remove Water Main</t>
        </is>
      </c>
      <c r="D12" s="5" t="inlineStr">
        <is>
          <t>LF</t>
        </is>
      </c>
      <c r="E12" s="7" t="n">
        <v>5</v>
      </c>
      <c r="F12" s="8" t="inlineStr"/>
      <c r="G12" s="8" t="inlineStr"/>
      <c r="H12" s="9" t="n">
        <v>95</v>
      </c>
      <c r="I12" s="5" t="inlineStr">
        <is>
          <t>Engineer Review</t>
        </is>
      </c>
      <c r="J12" s="8" t="inlineStr">
        <is>
          <t>Plan callout at southwest portion of removal plan: "REMOVE WATER MAIN - 5 LF (FOR INSTALLATION OF NEW TEE)".</t>
        </is>
      </c>
      <c r="K12" s="8" t="inlineStr">
        <is>
          <t>Explicit quantity extracted from plan callout.</t>
        </is>
      </c>
    </row>
    <row r="13">
      <c r="A13" s="3" t="inlineStr">
        <is>
          <t>Grading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5" t="n">
        <v>8</v>
      </c>
      <c r="B14" s="5" t="inlineStr">
        <is>
          <t>120.001</t>
        </is>
      </c>
      <c r="C14" s="6" t="inlineStr">
        <is>
          <t>Unclassified Excavation</t>
        </is>
      </c>
      <c r="D14" s="5" t="inlineStr">
        <is>
          <t>CY</t>
        </is>
      </c>
      <c r="E14" s="7" t="n">
        <v>20</v>
      </c>
      <c r="F14" s="8" t="inlineStr"/>
      <c r="G14" s="8" t="inlineStr"/>
      <c r="H14" s="9" t="n">
        <v>95</v>
      </c>
      <c r="I14" s="5" t="inlineStr">
        <is>
          <t>Engineer Review</t>
        </is>
      </c>
      <c r="J14" s="8" t="inlineStr">
        <is>
          <t>D3 General Notes, "UNCLASSIFIED EXCAVATION - DIGOUTS": "An estimated quantity of 20 cubic yards of ‘Unclassified Excavation – Digouts’ has been included in the plans."</t>
        </is>
      </c>
      <c r="K14" s="8" t="inlineStr">
        <is>
          <t>Explicit estimated quantity stated in drawing note; no calculation performed.</t>
        </is>
      </c>
    </row>
    <row r="15">
      <c r="A15" s="5" t="n">
        <v>9</v>
      </c>
      <c r="B15" s="5" t="inlineStr">
        <is>
          <t>230.001</t>
        </is>
      </c>
      <c r="C15" s="6" t="inlineStr">
        <is>
          <t>Placing Topsoil</t>
        </is>
      </c>
      <c r="D15" s="5" t="inlineStr">
        <is>
          <t>CY</t>
        </is>
      </c>
      <c r="E15" s="7" t="n">
        <v>435.6</v>
      </c>
      <c r="F15" s="8" t="inlineStr"/>
      <c r="G15" s="8" t="inlineStr"/>
      <c r="H15" s="9" t="n">
        <v>93</v>
      </c>
      <c r="I15" s="5" t="inlineStr">
        <is>
          <t>Engineer Review</t>
        </is>
      </c>
      <c r="J15" s="8" t="inlineStr">
        <is>
          <t>G1, AREA AND VOLUME DISTURBED note: total surface area to be disturbed is 0.54 acres; G1, TOPSOIL note: topsoil will be placed over all disturbed areas to a depth of 6 inches.</t>
        </is>
      </c>
      <c r="K15" s="8" t="inlineStr">
        <is>
          <t>0.54 Acre × 43,560 SqFt/Acre × 0.5 Ft ÷ 27 CuFt/CuYd = 435.6 CuYd.</t>
        </is>
      </c>
    </row>
    <row r="16">
      <c r="A16" s="5" t="n">
        <v>10</v>
      </c>
      <c r="B16" s="5" t="inlineStr">
        <is>
          <t>900.1751</t>
        </is>
      </c>
      <c r="C16" s="6" t="inlineStr">
        <is>
          <t>Cut and Tie To Existing Water Main</t>
        </is>
      </c>
      <c r="D16" s="5" t="inlineStr">
        <is>
          <t>EA</t>
        </is>
      </c>
      <c r="E16" s="7" t="n">
        <v>2</v>
      </c>
      <c r="F16" s="8" t="inlineStr"/>
      <c r="G16" s="8" t="inlineStr"/>
      <c r="H16" s="9" t="n">
        <v>93</v>
      </c>
      <c r="I16" s="5" t="inlineStr">
        <is>
          <t>Engineer Review</t>
        </is>
      </c>
      <c r="J16" s="8" t="inlineStr">
        <is>
          <t>Water-main callout at STA. 0+47.38, 33.71' LT</t>
        </is>
      </c>
      <c r="K16" s="8" t="inlineStr">
        <is>
          <t>Direct count from plan callout: 2 EA. | validation: unit 'ea' may be inconsistent for item type</t>
        </is>
      </c>
    </row>
    <row r="17">
      <c r="A17" s="3" t="inlineStr">
        <is>
          <t>Erosion Control / Restoration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5" t="n">
        <v>11</v>
      </c>
      <c r="B18" s="5" t="inlineStr">
        <is>
          <t>Special</t>
        </is>
      </c>
      <c r="C18" s="6" t="inlineStr">
        <is>
          <t>Watering</t>
        </is>
      </c>
      <c r="D18" s="5" t="inlineStr">
        <is>
          <t>MGAL</t>
        </is>
      </c>
      <c r="E18" s="7" t="n">
        <v>93</v>
      </c>
      <c r="F18" s="8" t="inlineStr"/>
      <c r="G18" s="8" t="inlineStr"/>
      <c r="H18" s="9" t="n">
        <v>95</v>
      </c>
      <c r="I18" s="5" t="inlineStr">
        <is>
          <t>Engineer Review</t>
        </is>
      </c>
      <c r="J18" s="8" t="inlineStr">
        <is>
          <t>G2 Erosion Control Notes, WATERING note: "Included in the estimate of quantities is 93 MGAL's of water for vegetation for the seeded areas."</t>
        </is>
      </c>
      <c r="K18" s="8" t="inlineStr">
        <is>
          <t>Explicit quantity stated in drawing note; no calculation performed. — not matched to AutoVAD master template (Bid Item List 2026.xlsx)</t>
        </is>
      </c>
    </row>
    <row r="19">
      <c r="A19" s="3" t="inlineStr">
        <is>
          <t>Storm Sewer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5" t="n">
        <v>12</v>
      </c>
      <c r="B20" s="5" t="inlineStr">
        <is>
          <t>Special</t>
        </is>
      </c>
      <c r="C20" s="6" t="inlineStr">
        <is>
          <t>Bedding Material - 12" pipe</t>
        </is>
      </c>
      <c r="D20" s="5" t="inlineStr">
        <is>
          <t>TON/LFT</t>
        </is>
      </c>
      <c r="E20" s="7" t="n">
        <v>0.14</v>
      </c>
      <c r="F20" s="8" t="inlineStr"/>
      <c r="G20" s="8" t="inlineStr"/>
      <c r="H20" s="9" t="n">
        <v>93</v>
      </c>
      <c r="I20" s="5" t="inlineStr">
        <is>
          <t>Engineer Review</t>
        </is>
      </c>
      <c r="J20" s="8" t="inlineStr">
        <is>
          <t>Bedding and Backfill for RCP Type B Installation, Quantity Estimate Table for Bedding Material</t>
        </is>
      </c>
      <c r="K20" s="8" t="inlineStr">
        <is>
          <t>Copied from printed Quantity Estimate Table. | Drawing check 37 Ft vs schedule 0.14 Ton/LFt (schedule quantity kept; Storm sewer callout between B1#1 at STA. 3+67.57 and DI#1 at STA. 3+67.21.). | validation: unit 'Ton/LFt' may be inconsistent for item type — not matched to AutoVAD master template (Bid Item List 2026.xlsx)</t>
        </is>
      </c>
    </row>
    <row r="21">
      <c r="A21" s="5" t="n">
        <v>13</v>
      </c>
      <c r="B21" s="5" t="inlineStr">
        <is>
          <t>Special</t>
        </is>
      </c>
      <c r="C21" s="6" t="inlineStr">
        <is>
          <t>Bedding Material - 15" pipe</t>
        </is>
      </c>
      <c r="D21" s="5" t="inlineStr">
        <is>
          <t>TON/LFT</t>
        </is>
      </c>
      <c r="E21" s="7" t="n">
        <v>0.19</v>
      </c>
      <c r="F21" s="8" t="inlineStr"/>
      <c r="G21" s="8" t="inlineStr"/>
      <c r="H21" s="9" t="n">
        <v>93</v>
      </c>
      <c r="I21" s="5" t="inlineStr">
        <is>
          <t>Engineer Review</t>
        </is>
      </c>
      <c r="J21" s="8" t="inlineStr">
        <is>
          <t>Bedding and Backfill for RCP Type B Installation, Quantity Estimate Table for Bedding Material</t>
        </is>
      </c>
      <c r="K21" s="8" t="inlineStr">
        <is>
          <t>Copied from printed Quantity Estimate Table. | Drawing check 3.96 CuYd vs schedule 0.19 Ton/LFt (schedule quantity kept; DI#1 callout shows 3.04 CUYD; B1#1 callout shows 0.92 CUYD.). | validation: unit 'Ton/LFt' may be inconsistent for item type — not matched to AutoVAD master template (Bid Item List 2026.xlsx)</t>
        </is>
      </c>
    </row>
    <row r="22">
      <c r="A22" s="5" t="n">
        <v>14</v>
      </c>
      <c r="B22" s="5" t="inlineStr">
        <is>
          <t>Special</t>
        </is>
      </c>
      <c r="C22" s="6" t="inlineStr">
        <is>
          <t>Bedding Material - 18" pipe</t>
        </is>
      </c>
      <c r="D22" s="5" t="inlineStr">
        <is>
          <t>TON/LFT</t>
        </is>
      </c>
      <c r="E22" s="7" t="n">
        <v>0.25</v>
      </c>
      <c r="F22" s="8" t="inlineStr"/>
      <c r="G22" s="8" t="inlineStr"/>
      <c r="H22" s="9" t="n">
        <v>93</v>
      </c>
      <c r="I22" s="5" t="inlineStr">
        <is>
          <t>Engineer Review</t>
        </is>
      </c>
      <c r="J22" s="8" t="inlineStr">
        <is>
          <t>Bedding and Backfill for RCP Type B Installation, Quantity Estimate Table for Bedding Material</t>
        </is>
      </c>
      <c r="K22" s="8" t="inlineStr">
        <is>
          <t>Copied from printed Quantity Estimate Table. | Drawing check 500 Lb vs schedule 0.25 Ton/LFt (schedule quantity kept; DI#1 callout shows 472 LB; B1#1 callout shows 28 LB.). | validation: unit 'Ton/LFt' may be inconsistent for item type — not matched to AutoVAD master template (Bid Item List 2026.xlsx)</t>
        </is>
      </c>
    </row>
    <row r="23">
      <c r="A23" s="5" t="n">
        <v>15</v>
      </c>
      <c r="B23" s="5" t="inlineStr">
        <is>
          <t>Special</t>
        </is>
      </c>
      <c r="C23" s="6" t="inlineStr">
        <is>
          <t>Bedding Material - 21" pipe</t>
        </is>
      </c>
      <c r="D23" s="5" t="inlineStr">
        <is>
          <t>TON/LFT</t>
        </is>
      </c>
      <c r="E23" s="7" t="n">
        <v>0.29</v>
      </c>
      <c r="F23" s="8" t="inlineStr"/>
      <c r="G23" s="8" t="inlineStr"/>
      <c r="H23" s="9" t="n">
        <v>93</v>
      </c>
      <c r="I23" s="5" t="inlineStr">
        <is>
          <t>Engineer Review</t>
        </is>
      </c>
      <c r="J23" s="8" t="inlineStr">
        <is>
          <t>Bedding and Backfill for RCP Type B Installation, Quantity Estimate Table for Bedding Material</t>
        </is>
      </c>
      <c r="K23" s="8" t="inlineStr">
        <is>
          <t>Copied from printed Quantity Estimate Table. | Drawing check 1 Each vs schedule 0.29 Ton/LFt (schedule quantity kept; DI#1 callout at STA. 3+67.21 - 19.5' RT.). | validation: unit 'Ton/LFt' may be inconsistent for item type — not matched to AutoVAD master template (Bid Item List 2026.xlsx)</t>
        </is>
      </c>
    </row>
    <row r="24">
      <c r="A24" s="5" t="n">
        <v>16</v>
      </c>
      <c r="B24" s="5" t="inlineStr">
        <is>
          <t>Special</t>
        </is>
      </c>
      <c r="C24" s="6" t="inlineStr">
        <is>
          <t>Bedding Material - 24" pipe</t>
        </is>
      </c>
      <c r="D24" s="5" t="inlineStr">
        <is>
          <t>TON/LFT</t>
        </is>
      </c>
      <c r="E24" s="7" t="n">
        <v>0.33</v>
      </c>
      <c r="F24" s="8" t="inlineStr"/>
      <c r="G24" s="8" t="inlineStr"/>
      <c r="H24" s="9" t="n">
        <v>93</v>
      </c>
      <c r="I24" s="5" t="inlineStr">
        <is>
          <t>Engineer Review</t>
        </is>
      </c>
      <c r="J24" s="8" t="inlineStr">
        <is>
          <t>Bedding and Backfill for RCP Type B Installation, Quantity Estimate Table for Bedding Material</t>
        </is>
      </c>
      <c r="K24" s="8" t="inlineStr">
        <is>
          <t>Copied from printed Quantity Estimate Table. | Drawing check 1 Each vs schedule 0.33 Ton/LFt (schedule quantity kept; B1#1 callout at STA. 3+67.57 - 19.4' LT.). | validation: unit 'Ton/LFt' may be inconsistent for item type — not matched to AutoVAD master template (Bid Item List 2026.xlsx)</t>
        </is>
      </c>
    </row>
    <row r="25">
      <c r="A25" s="5" t="n">
        <v>17</v>
      </c>
      <c r="B25" s="5" t="inlineStr">
        <is>
          <t>Special</t>
        </is>
      </c>
      <c r="C25" s="6" t="inlineStr">
        <is>
          <t>Bedding Material - 27" pipe</t>
        </is>
      </c>
      <c r="D25" s="5" t="inlineStr">
        <is>
          <t>TON/LFT</t>
        </is>
      </c>
      <c r="E25" s="7" t="n">
        <v>0.36</v>
      </c>
      <c r="F25" s="8" t="inlineStr"/>
      <c r="G25" s="8" t="inlineStr"/>
      <c r="H25" s="9" t="n">
        <v>93</v>
      </c>
      <c r="I25" s="5" t="inlineStr">
        <is>
          <t>Engineer Review</t>
        </is>
      </c>
      <c r="J25" s="8" t="inlineStr">
        <is>
          <t>Bedding and Backfill for RCP Type B Installation, Quantity Estimate Table for Bedding Material</t>
        </is>
      </c>
      <c r="K25" s="8" t="inlineStr">
        <is>
          <t>Copied from printed Quantity Estimate Table. | Drawing check 15 CuYd vs schedule 0.36 Ton/LFt (schedule quantity kept; Estimated Quantities table, Standard 6'-0" S.F. Type Storm Sewer Inlet, Plate No. 460.01). | validation: unit 'Ton/LFt' may be inconsistent for item type — not matched to AutoVAD master template (Bid Item List 2026.xlsx)</t>
        </is>
      </c>
    </row>
    <row r="26">
      <c r="A26" s="5" t="n">
        <v>18</v>
      </c>
      <c r="B26" s="5" t="inlineStr">
        <is>
          <t>Special</t>
        </is>
      </c>
      <c r="C26" s="6" t="inlineStr">
        <is>
          <t>Bedding Material - 30" pipe</t>
        </is>
      </c>
      <c r="D26" s="5" t="inlineStr">
        <is>
          <t>TON/LFT</t>
        </is>
      </c>
      <c r="E26" s="7" t="n">
        <v>0.4</v>
      </c>
      <c r="F26" s="8" t="inlineStr"/>
      <c r="G26" s="8" t="inlineStr"/>
      <c r="H26" s="9" t="n">
        <v>93</v>
      </c>
      <c r="I26" s="5" t="inlineStr">
        <is>
          <t>Engineer Review</t>
        </is>
      </c>
      <c r="J26" s="8" t="inlineStr">
        <is>
          <t>Bedding and Backfill for RCP Type B Installation, Quantity Estimate Table for Bedding Material</t>
        </is>
      </c>
      <c r="K26" s="8" t="inlineStr">
        <is>
          <t>Copied from printed Quantity Estimate Table. | Drawing check 15 Lb vs schedule 0.4 Ton/LFt (schedule quantity kept; Estimated Quantities table, Standard 6'-0" S.F. Type Storm Sewer Inlet, Plate No. 460.01). | validation: unit 'Ton/LFt' may be inconsistent for item type — not matched to AutoVAD master template (Bid Item List 2026.xlsx)</t>
        </is>
      </c>
    </row>
    <row r="27">
      <c r="A27" s="5" t="n">
        <v>19</v>
      </c>
      <c r="B27" s="5" t="inlineStr">
        <is>
          <t>Special</t>
        </is>
      </c>
      <c r="C27" s="6" t="inlineStr">
        <is>
          <t>Bedding Material - 33" pipe</t>
        </is>
      </c>
      <c r="D27" s="5" t="inlineStr">
        <is>
          <t>TON/LFT</t>
        </is>
      </c>
      <c r="E27" s="7" t="n">
        <v>0.44</v>
      </c>
      <c r="F27" s="8" t="inlineStr"/>
      <c r="G27" s="8" t="inlineStr"/>
      <c r="H27" s="9" t="n">
        <v>93</v>
      </c>
      <c r="I27" s="5" t="inlineStr">
        <is>
          <t>Engineer Review</t>
        </is>
      </c>
      <c r="J27" s="8" t="inlineStr">
        <is>
          <t>Bedding and Backfill for RCP Type B Installation, Quantity Estimate Table for Bedding Material</t>
        </is>
      </c>
      <c r="K27" s="8" t="inlineStr">
        <is>
          <t>Copied from printed Quantity Estimate Table. | Drawing check 15 Each vs schedule 0.44 Ton/LFt (schedule quantity kept; Estimated Quantities table, Standard 6'-0" S.F. Type Storm Sewer Inlet, Plate No. 460.01). | validation: unit 'Ton/LFt' may be inconsistent for item type — not matched to AutoVAD master template (Bid Item List 2026.xlsx)</t>
        </is>
      </c>
    </row>
    <row r="28">
      <c r="A28" s="5" t="n">
        <v>20</v>
      </c>
      <c r="B28" s="5" t="inlineStr">
        <is>
          <t>Special</t>
        </is>
      </c>
      <c r="C28" s="6" t="inlineStr">
        <is>
          <t>Bedding Material - 36" pipe</t>
        </is>
      </c>
      <c r="D28" s="5" t="inlineStr">
        <is>
          <t>TON/LFT</t>
        </is>
      </c>
      <c r="E28" s="7" t="n">
        <v>0.48</v>
      </c>
      <c r="F28" s="8" t="inlineStr"/>
      <c r="G28" s="8" t="inlineStr"/>
      <c r="H28" s="9" t="n">
        <v>93</v>
      </c>
      <c r="I28" s="5" t="inlineStr">
        <is>
          <t>Engineer Review</t>
        </is>
      </c>
      <c r="J28" s="8" t="inlineStr">
        <is>
          <t>Bedding and Backfill for RCP Type B Installation, Quantity Estimate Table for Bedding Material</t>
        </is>
      </c>
      <c r="K28" s="8" t="inlineStr">
        <is>
          <t>Copied from printed Quantity Estimate Table. | Drawing check 0.27 CuYd vs schedule 0.48 Ton/LFt (schedule quantity kept; Standard Storm Sewer Inlet Type B1 detail, Estimated Quantities table). | validation: unit 'Ton/LFt' may be inconsistent for item type — not matched to AutoVAD master template (Bid Item List 2026.xlsx)</t>
        </is>
      </c>
    </row>
    <row r="29">
      <c r="A29" s="5" t="n">
        <v>21</v>
      </c>
      <c r="B29" s="5" t="inlineStr">
        <is>
          <t>Special</t>
        </is>
      </c>
      <c r="C29" s="6" t="inlineStr">
        <is>
          <t>Bedding Material - 42" pipe</t>
        </is>
      </c>
      <c r="D29" s="5" t="inlineStr">
        <is>
          <t>TON/LFT</t>
        </is>
      </c>
      <c r="E29" s="7" t="n">
        <v>0.57</v>
      </c>
      <c r="F29" s="8" t="inlineStr"/>
      <c r="G29" s="8" t="inlineStr"/>
      <c r="H29" s="9" t="n">
        <v>93</v>
      </c>
      <c r="I29" s="5" t="inlineStr">
        <is>
          <t>Engineer Review</t>
        </is>
      </c>
      <c r="J29" s="8" t="inlineStr">
        <is>
          <t>Bedding and Backfill for RCP Type B Installation, Quantity Estimate Table for Bedding Material</t>
        </is>
      </c>
      <c r="K29" s="8" t="inlineStr">
        <is>
          <t>Copied from printed Quantity Estimate Table. | Drawing check 28 Lb vs schedule 0.57 Ton/LFt (schedule quantity kept; Standard Storm Sewer Inlet Type B1 detail, Estimated Quantities table). | validation: unit 'Ton/LFt' may be inconsistent for item type — not matched to AutoVAD master template (Bid Item List 2026.xlsx)</t>
        </is>
      </c>
    </row>
    <row r="30">
      <c r="A30" s="5" t="n">
        <v>22</v>
      </c>
      <c r="B30" s="5" t="inlineStr">
        <is>
          <t>Special</t>
        </is>
      </c>
      <c r="C30" s="6" t="inlineStr">
        <is>
          <t>Bedding Material - 48" pipe</t>
        </is>
      </c>
      <c r="D30" s="5" t="inlineStr">
        <is>
          <t>TON/LFT</t>
        </is>
      </c>
      <c r="E30" s="7" t="n">
        <v>0.67</v>
      </c>
      <c r="F30" s="8" t="inlineStr"/>
      <c r="G30" s="8" t="inlineStr"/>
      <c r="H30" s="9" t="n">
        <v>93</v>
      </c>
      <c r="I30" s="5" t="inlineStr">
        <is>
          <t>Engineer Review</t>
        </is>
      </c>
      <c r="J30" s="8" t="inlineStr">
        <is>
          <t>Bedding and Backfill for RCP Type B Installation, Quantity Estimate Table for Bedding Material</t>
        </is>
      </c>
      <c r="K30" s="8" t="inlineStr">
        <is>
          <t>Copied from printed Quantity Estimate Table. | validation: unit 'Ton/LFt' may be inconsistent for item type — not matched to AutoVAD master template (Bid Item List 2026.xlsx)</t>
        </is>
      </c>
    </row>
    <row r="31">
      <c r="A31" s="5" t="n">
        <v>23</v>
      </c>
      <c r="B31" s="5" t="inlineStr">
        <is>
          <t>Special</t>
        </is>
      </c>
      <c r="C31" s="6" t="inlineStr">
        <is>
          <t>Bedding Material - 54" pipe</t>
        </is>
      </c>
      <c r="D31" s="5" t="inlineStr">
        <is>
          <t>TON/LFT</t>
        </is>
      </c>
      <c r="E31" s="7" t="n">
        <v>0.77</v>
      </c>
      <c r="F31" s="8" t="inlineStr"/>
      <c r="G31" s="8" t="inlineStr"/>
      <c r="H31" s="9" t="n">
        <v>93</v>
      </c>
      <c r="I31" s="5" t="inlineStr">
        <is>
          <t>Engineer Review</t>
        </is>
      </c>
      <c r="J31" s="8" t="inlineStr">
        <is>
          <t>Bedding and Backfill for RCP Type B Installation, Quantity Estimate Table for Bedding Material</t>
        </is>
      </c>
      <c r="K31" s="8" t="inlineStr">
        <is>
          <t>Copied from printed Quantity Estimate Table. | validation: unit 'Ton/LFt' may be inconsistent for item type — not matched to AutoVAD master template (Bid Item List 2026.xlsx)</t>
        </is>
      </c>
    </row>
    <row r="32">
      <c r="A32" s="5" t="n">
        <v>24</v>
      </c>
      <c r="B32" s="5" t="inlineStr">
        <is>
          <t>Special</t>
        </is>
      </c>
      <c r="C32" s="6" t="inlineStr">
        <is>
          <t>Bedding Material - 60" pipe</t>
        </is>
      </c>
      <c r="D32" s="5" t="inlineStr">
        <is>
          <t>TON/LFT</t>
        </is>
      </c>
      <c r="E32" s="7" t="n">
        <v>0.88</v>
      </c>
      <c r="F32" s="8" t="inlineStr"/>
      <c r="G32" s="8" t="inlineStr"/>
      <c r="H32" s="9" t="n">
        <v>93</v>
      </c>
      <c r="I32" s="5" t="inlineStr">
        <is>
          <t>Engineer Review</t>
        </is>
      </c>
      <c r="J32" s="8" t="inlineStr">
        <is>
          <t>Bedding and Backfill for RCP Type B Installation, Quantity Estimate Table for Bedding Material</t>
        </is>
      </c>
      <c r="K32" s="8" t="inlineStr">
        <is>
          <t>Copied from printed Quantity Estimate Table. | validation: unit 'Ton/LFt' may be inconsistent for item type — not matched to AutoVAD master template (Bid Item List 2026.xlsx)</t>
        </is>
      </c>
    </row>
    <row r="33">
      <c r="A33" s="5" t="n">
        <v>25</v>
      </c>
      <c r="B33" s="5" t="inlineStr">
        <is>
          <t>Special</t>
        </is>
      </c>
      <c r="C33" s="6" t="inlineStr">
        <is>
          <t>Bedding Material - 66" pipe</t>
        </is>
      </c>
      <c r="D33" s="5" t="inlineStr">
        <is>
          <t>TON/LFT</t>
        </is>
      </c>
      <c r="E33" s="7" t="n">
        <v>0.98</v>
      </c>
      <c r="F33" s="8" t="inlineStr"/>
      <c r="G33" s="8" t="inlineStr"/>
      <c r="H33" s="9" t="n">
        <v>93</v>
      </c>
      <c r="I33" s="5" t="inlineStr">
        <is>
          <t>Engineer Review</t>
        </is>
      </c>
      <c r="J33" s="8" t="inlineStr">
        <is>
          <t>Bedding and Backfill for RCP Type B Installation, Quantity Estimate Table for Bedding Material</t>
        </is>
      </c>
      <c r="K33" s="8" t="inlineStr">
        <is>
          <t>Copied from printed Quantity Estimate Table. | validation: unit 'Ton/LFt' may be inconsistent for item type — not matched to AutoVAD master template (Bid Item List 2026.xlsx)</t>
        </is>
      </c>
    </row>
    <row r="34">
      <c r="A34" s="5" t="n">
        <v>26</v>
      </c>
      <c r="B34" s="5" t="inlineStr">
        <is>
          <t>Special</t>
        </is>
      </c>
      <c r="C34" s="6" t="inlineStr">
        <is>
          <t>Bedding Material - 72" pipe</t>
        </is>
      </c>
      <c r="D34" s="5" t="inlineStr">
        <is>
          <t>TON/LFT</t>
        </is>
      </c>
      <c r="E34" s="7" t="n">
        <v>1.1</v>
      </c>
      <c r="F34" s="8" t="inlineStr"/>
      <c r="G34" s="8" t="inlineStr"/>
      <c r="H34" s="9" t="n">
        <v>93</v>
      </c>
      <c r="I34" s="5" t="inlineStr">
        <is>
          <t>Engineer Review</t>
        </is>
      </c>
      <c r="J34" s="8" t="inlineStr">
        <is>
          <t>Bedding and Backfill for RCP Type B Installation, Quantity Estimate Table for Bedding Material</t>
        </is>
      </c>
      <c r="K34" s="8" t="inlineStr">
        <is>
          <t>Copied from printed Quantity Estimate Table. | validation: unit 'Ton/LFt' may be inconsistent for item type — not matched to AutoVAD master template (Bid Item List 2026.xlsx)</t>
        </is>
      </c>
    </row>
    <row r="35">
      <c r="A35" s="5" t="n">
        <v>27</v>
      </c>
      <c r="B35" s="5" t="inlineStr">
        <is>
          <t>Special</t>
        </is>
      </c>
      <c r="C35" s="6" t="inlineStr">
        <is>
          <t>Bedding Material - 78" pipe</t>
        </is>
      </c>
      <c r="D35" s="5" t="inlineStr">
        <is>
          <t>TON/LFT</t>
        </is>
      </c>
      <c r="E35" s="7" t="n">
        <v>1.24</v>
      </c>
      <c r="F35" s="8" t="inlineStr"/>
      <c r="G35" s="8" t="inlineStr"/>
      <c r="H35" s="9" t="n">
        <v>93</v>
      </c>
      <c r="I35" s="5" t="inlineStr">
        <is>
          <t>Engineer Review</t>
        </is>
      </c>
      <c r="J35" s="8" t="inlineStr">
        <is>
          <t>Bedding and Backfill for RCP Type B Installation, Quantity Estimate Table for Bedding Material</t>
        </is>
      </c>
      <c r="K35" s="8" t="inlineStr">
        <is>
          <t>Copied from printed Quantity Estimate Table. | validation: unit 'Ton/LFt' may be inconsistent for item type — not matched to AutoVAD master template (Bid Item List 2026.xlsx)</t>
        </is>
      </c>
    </row>
    <row r="36">
      <c r="A36" s="5" t="n">
        <v>28</v>
      </c>
      <c r="B36" s="5" t="inlineStr">
        <is>
          <t>Special</t>
        </is>
      </c>
      <c r="C36" s="6" t="inlineStr">
        <is>
          <t>Bedding Material - 84" pipe</t>
        </is>
      </c>
      <c r="D36" s="5" t="inlineStr">
        <is>
          <t>TON/LFT</t>
        </is>
      </c>
      <c r="E36" s="7" t="n">
        <v>1.35</v>
      </c>
      <c r="F36" s="8" t="inlineStr"/>
      <c r="G36" s="8" t="inlineStr"/>
      <c r="H36" s="9" t="n">
        <v>93</v>
      </c>
      <c r="I36" s="5" t="inlineStr">
        <is>
          <t>Engineer Review</t>
        </is>
      </c>
      <c r="J36" s="8" t="inlineStr">
        <is>
          <t>Bedding and Backfill for RCP Type B Installation, Quantity Estimate Table for Bedding Material</t>
        </is>
      </c>
      <c r="K36" s="8" t="inlineStr">
        <is>
          <t>Copied from printed Quantity Estimate Table. | validation: unit 'Ton/LFt' may be inconsistent for item type — not matched to AutoVAD master template (Bid Item List 2026.xlsx)</t>
        </is>
      </c>
    </row>
    <row r="37">
      <c r="A37" s="3" t="inlineStr">
        <is>
          <t>Watermain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5" t="n">
        <v>29</v>
      </c>
      <c r="B38" s="5" t="inlineStr">
        <is>
          <t>900.0201</t>
        </is>
      </c>
      <c r="C38" s="6" t="inlineStr">
        <is>
          <t>6" C900 DR 18 PVC Water Main</t>
        </is>
      </c>
      <c r="D38" s="5" t="inlineStr">
        <is>
          <t>LF</t>
        </is>
      </c>
      <c r="E38" s="7" t="n">
        <v>14</v>
      </c>
      <c r="F38" s="8" t="inlineStr"/>
      <c r="G38" s="8" t="inlineStr"/>
      <c r="H38" s="9" t="n">
        <v>95</v>
      </c>
      <c r="I38" s="5" t="inlineStr">
        <is>
          <t>Engineer Review</t>
        </is>
      </c>
      <c r="J38" s="8" t="inlineStr">
        <is>
          <t>Water-main callouts at STA. 0+47.38, 33.71' LT and STA. 0+47.38, 33.71' LT TO STA. 0+67.39, 33.90' LT</t>
        </is>
      </c>
      <c r="K38" s="8" t="inlineStr">
        <is>
          <t>5 LF + 9 LF = 14 LF from explicit plan callouts.</t>
        </is>
      </c>
    </row>
    <row r="39">
      <c r="A39" s="5" t="n">
        <v>30</v>
      </c>
      <c r="B39" s="5" t="inlineStr">
        <is>
          <t>900.0202</t>
        </is>
      </c>
      <c r="C39" s="6" t="inlineStr">
        <is>
          <t>8" C900 DR 18 PVC Water Main</t>
        </is>
      </c>
      <c r="D39" s="5" t="inlineStr">
        <is>
          <t>LF</t>
        </is>
      </c>
      <c r="E39" s="7" t="n">
        <v>85</v>
      </c>
      <c r="F39" s="8" t="inlineStr"/>
      <c r="G39" s="8" t="inlineStr"/>
      <c r="H39" s="9" t="n">
        <v>95</v>
      </c>
      <c r="I39" s="5" t="inlineStr">
        <is>
          <t>Engineer Review</t>
        </is>
      </c>
      <c r="J39" s="8" t="inlineStr">
        <is>
          <t>Water-main callouts from STA. 0+47.38, 33.71' LT TO STA. 0+67.39, 33.90' LT; STA. 3+12.08, 34.95' LT TO STA. 3+31.08, 35.04' LT; and STA. 3+31.08, 35.04' LT TO STA. 3+73.01, 35.24' LT</t>
        </is>
      </c>
      <c r="K39" s="8" t="inlineStr">
        <is>
          <t>11 LF + 22 LF + 52 LF = 85 LF from explicit plan callouts. Excludes the separately called-out restrained-joint watermain.</t>
        </is>
      </c>
    </row>
    <row r="40">
      <c r="A40" s="5" t="n">
        <v>31</v>
      </c>
      <c r="B40" s="5" t="inlineStr">
        <is>
          <t>900.0302</t>
        </is>
      </c>
      <c r="C40" s="6" t="inlineStr">
        <is>
          <t>8" Restrained Joint PVC Pipe</t>
        </is>
      </c>
      <c r="D40" s="5" t="inlineStr">
        <is>
          <t>LF</t>
        </is>
      </c>
      <c r="E40" s="7" t="n">
        <v>244</v>
      </c>
      <c r="F40" s="8" t="inlineStr"/>
      <c r="G40" s="8" t="inlineStr"/>
      <c r="H40" s="9" t="n">
        <v>95</v>
      </c>
      <c r="I40" s="5" t="inlineStr">
        <is>
          <t>Engineer Review</t>
        </is>
      </c>
      <c r="J40" s="8" t="inlineStr">
        <is>
          <t>Water-main callout from STA. 0+67.39, 33.90' LT TO STA. 3+12.08, 34.95' LT</t>
        </is>
      </c>
      <c r="K40" s="8" t="inlineStr">
        <is>
          <t>Direct quantity from plan callout: 244 LF.</t>
        </is>
      </c>
    </row>
    <row r="41">
      <c r="A41" s="5" t="n">
        <v>32</v>
      </c>
      <c r="B41" s="5" t="inlineStr">
        <is>
          <t>900.0402</t>
        </is>
      </c>
      <c r="C41" s="6" t="inlineStr">
        <is>
          <t>6" MJ Gate Valve with Box</t>
        </is>
      </c>
      <c r="D41" s="5" t="inlineStr">
        <is>
          <t>EA</t>
        </is>
      </c>
      <c r="E41" s="7" t="n">
        <v>2</v>
      </c>
      <c r="F41" s="8" t="inlineStr"/>
      <c r="G41" s="8" t="inlineStr"/>
      <c r="H41" s="9" t="n">
        <v>95</v>
      </c>
      <c r="I41" s="5" t="inlineStr">
        <is>
          <t>Engineer Review</t>
        </is>
      </c>
      <c r="J41" s="8" t="inlineStr">
        <is>
          <t>Water-main callout at STA. 0+47.38, 33.71' LT</t>
        </is>
      </c>
      <c r="K41" s="8" t="inlineStr">
        <is>
          <t>Direct count from plan callout: 1 EA.</t>
        </is>
      </c>
    </row>
    <row r="42">
      <c r="A42" s="5" t="n">
        <v>33</v>
      </c>
      <c r="B42" s="5" t="inlineStr">
        <is>
          <t>900.0502</t>
        </is>
      </c>
      <c r="C42" s="6" t="inlineStr">
        <is>
          <t>8" MJ Elbow 11.25/22.5/45 Degree</t>
        </is>
      </c>
      <c r="D42" s="5" t="inlineStr">
        <is>
          <t>EA</t>
        </is>
      </c>
      <c r="E42" s="7" t="n">
        <v>4</v>
      </c>
      <c r="F42" s="8" t="inlineStr"/>
      <c r="G42" s="8" t="inlineStr"/>
      <c r="H42" s="9" t="n">
        <v>95</v>
      </c>
      <c r="I42" s="5" t="inlineStr">
        <is>
          <t>Engineer Review</t>
        </is>
      </c>
      <c r="J42" s="8" t="inlineStr">
        <is>
          <t>Water-main callout from STA. 3+12.08, 34.95' LT TO STA. 3+31.08, 35.04' LT</t>
        </is>
      </c>
      <c r="K42" s="8" t="inlineStr">
        <is>
          <t>Direct count from plan callout: 4 EA.</t>
        </is>
      </c>
    </row>
    <row r="43">
      <c r="A43" s="5" t="n">
        <v>34</v>
      </c>
      <c r="B43" s="5" t="inlineStr">
        <is>
          <t>900.0801</t>
        </is>
      </c>
      <c r="C43" s="6" t="inlineStr">
        <is>
          <t>8" x 4" MJ Reducer</t>
        </is>
      </c>
      <c r="D43" s="5" t="inlineStr">
        <is>
          <t>EA</t>
        </is>
      </c>
      <c r="E43" s="7" t="n">
        <v>1</v>
      </c>
      <c r="F43" s="8" t="inlineStr"/>
      <c r="G43" s="8" t="inlineStr"/>
      <c r="H43" s="9" t="n">
        <v>95</v>
      </c>
      <c r="I43" s="5" t="inlineStr">
        <is>
          <t>Engineer Review</t>
        </is>
      </c>
      <c r="J43" s="8" t="inlineStr">
        <is>
          <t>Water-main callout from STA. 0+47.38, 33.71' LT TO STA. 0+67.39, 33.90' LT</t>
        </is>
      </c>
      <c r="K43" s="8" t="inlineStr">
        <is>
          <t>Direct count from plan callout: 1 EA.</t>
        </is>
      </c>
    </row>
    <row r="44">
      <c r="A44" s="5" t="n">
        <v>35</v>
      </c>
      <c r="B44" s="5" t="inlineStr">
        <is>
          <t>900.0805</t>
        </is>
      </c>
      <c r="C44" s="6" t="inlineStr">
        <is>
          <t>10" x 8" MJ Reducer</t>
        </is>
      </c>
      <c r="D44" s="5" t="inlineStr">
        <is>
          <t>EA</t>
        </is>
      </c>
      <c r="E44" s="7" t="n">
        <v>1</v>
      </c>
      <c r="F44" s="8" t="inlineStr"/>
      <c r="G44" s="8" t="inlineStr"/>
      <c r="H44" s="9" t="n">
        <v>95</v>
      </c>
      <c r="I44" s="5" t="inlineStr">
        <is>
          <t>Engineer Review</t>
        </is>
      </c>
      <c r="J44" s="8" t="inlineStr">
        <is>
          <t>Water-main callout from STA. 3+31.08, 35.04' LT TO STA. 3+73.01, 35.24' LT</t>
        </is>
      </c>
      <c r="K44" s="8" t="inlineStr">
        <is>
          <t>Direct count from plan callout: 1 EA.</t>
        </is>
      </c>
    </row>
    <row r="45">
      <c r="A45" s="5" t="n">
        <v>36</v>
      </c>
      <c r="B45" s="5" t="inlineStr">
        <is>
          <t>900.1201</t>
        </is>
      </c>
      <c r="C45" s="6" t="inlineStr">
        <is>
          <t>6" MJ Long Sleeve</t>
        </is>
      </c>
      <c r="D45" s="5" t="inlineStr">
        <is>
          <t>EA</t>
        </is>
      </c>
      <c r="E45" s="7" t="n">
        <v>1</v>
      </c>
      <c r="F45" s="8" t="inlineStr"/>
      <c r="G45" s="8" t="inlineStr"/>
      <c r="H45" s="9" t="n">
        <v>93</v>
      </c>
      <c r="I45" s="5" t="inlineStr">
        <is>
          <t>Engineer Review</t>
        </is>
      </c>
      <c r="J45" s="8" t="inlineStr">
        <is>
          <t>Water-main callout at STA. 0+47.38, 33.71' LT</t>
        </is>
      </c>
      <c r="K45" s="8" t="inlineStr">
        <is>
          <t>Direct count from plan callout: 1 EA. | validation: unit 'ea' may be inconsistent for item type</t>
        </is>
      </c>
    </row>
    <row r="46">
      <c r="A46" s="5" t="n">
        <v>37</v>
      </c>
      <c r="B46" s="5" t="inlineStr">
        <is>
          <t>900.1202</t>
        </is>
      </c>
      <c r="C46" s="6" t="inlineStr">
        <is>
          <t>8" MJ Long Sleeve</t>
        </is>
      </c>
      <c r="D46" s="5" t="inlineStr">
        <is>
          <t>EA</t>
        </is>
      </c>
      <c r="E46" s="7" t="n">
        <v>1</v>
      </c>
      <c r="F46" s="8" t="inlineStr"/>
      <c r="G46" s="8" t="inlineStr"/>
      <c r="H46" s="9" t="n">
        <v>93</v>
      </c>
      <c r="I46" s="5" t="inlineStr">
        <is>
          <t>Engineer Review</t>
        </is>
      </c>
      <c r="J46" s="8" t="inlineStr">
        <is>
          <t>Water-main callout from STA. 0+47.38, 33.71' LT TO STA. 0+67.39, 33.90' LT</t>
        </is>
      </c>
      <c r="K46" s="8" t="inlineStr">
        <is>
          <t>Direct count from plan callout: 1 EA. | validation: unit 'ea' may be inconsistent for item type</t>
        </is>
      </c>
    </row>
    <row r="47">
      <c r="A47" s="5" t="n">
        <v>38</v>
      </c>
      <c r="B47" s="5" t="inlineStr">
        <is>
          <t>900.1401</t>
        </is>
      </c>
      <c r="C47" s="6" t="inlineStr">
        <is>
          <t>6" M.J. Retainer Gland</t>
        </is>
      </c>
      <c r="D47" s="5" t="inlineStr">
        <is>
          <t>EA</t>
        </is>
      </c>
      <c r="E47" s="7" t="n">
        <v>4</v>
      </c>
      <c r="F47" s="8" t="inlineStr"/>
      <c r="G47" s="8" t="inlineStr"/>
      <c r="H47" s="9" t="n">
        <v>93</v>
      </c>
      <c r="I47" s="5" t="inlineStr">
        <is>
          <t>Engineer Review</t>
        </is>
      </c>
      <c r="J47" s="8" t="inlineStr">
        <is>
          <t>Water-main callout at STA. 0+47.38, 33.71' LT</t>
        </is>
      </c>
      <c r="K47" s="8" t="inlineStr">
        <is>
          <t>Direct count from plan callout: 4 EA. | validation: unit 'ea' may be inconsistent for item type</t>
        </is>
      </c>
    </row>
    <row r="48">
      <c r="A48" s="5" t="n">
        <v>39</v>
      </c>
      <c r="B48" s="5" t="inlineStr">
        <is>
          <t>900.1402</t>
        </is>
      </c>
      <c r="C48" s="6" t="inlineStr">
        <is>
          <t>8" M.J. Retainer Gland</t>
        </is>
      </c>
      <c r="D48" s="5" t="inlineStr">
        <is>
          <t>EA</t>
        </is>
      </c>
      <c r="E48" s="7" t="n">
        <v>17</v>
      </c>
      <c r="F48" s="8" t="inlineStr"/>
      <c r="G48" s="8" t="inlineStr"/>
      <c r="H48" s="9" t="n">
        <v>93</v>
      </c>
      <c r="I48" s="5" t="inlineStr">
        <is>
          <t>Engineer Review</t>
        </is>
      </c>
      <c r="J48" s="8" t="inlineStr">
        <is>
          <t>Water-main callouts from STA. 0+47.38, 33.71' LT TO STA. 0+67.39, 33.90' LT; STA. 0+67.39, 33.90' LT TO STA. 3+12.08, 34.95' LT; STA. 3+12.08, 34.95' LT TO STA. 3+31.08, 35.04' LT; and STA. 3+31.08, 35.04' LT TO STA. 3+73.01, 35.24' LT</t>
        </is>
      </c>
      <c r="K48" s="8" t="inlineStr">
        <is>
          <t>4 EA + 2 EA + 2 EA + 8 EA + 1 EA = 17 EA from explicit plan callouts. | validation: unit 'ea' may be inconsistent for item type</t>
        </is>
      </c>
    </row>
    <row r="49">
      <c r="A49" s="5" t="n">
        <v>40</v>
      </c>
      <c r="B49" s="5" t="inlineStr">
        <is>
          <t>900.1403</t>
        </is>
      </c>
      <c r="C49" s="6" t="inlineStr">
        <is>
          <t>10" M.J. Retainer Gland</t>
        </is>
      </c>
      <c r="D49" s="5" t="inlineStr">
        <is>
          <t>EA</t>
        </is>
      </c>
      <c r="E49" s="7" t="n">
        <v>1</v>
      </c>
      <c r="F49" s="8" t="inlineStr"/>
      <c r="G49" s="8" t="inlineStr"/>
      <c r="H49" s="9" t="n">
        <v>93</v>
      </c>
      <c r="I49" s="5" t="inlineStr">
        <is>
          <t>Engineer Review</t>
        </is>
      </c>
      <c r="J49" s="8" t="inlineStr">
        <is>
          <t>Water-main callout from STA. 3+31.08, 35.04' LT TO STA. 3+73.01, 35.24' LT</t>
        </is>
      </c>
      <c r="K49" s="8" t="inlineStr">
        <is>
          <t>Direct count from plan callout: 1 EA. | validation: unit 'ea' may be inconsistent for item type</t>
        </is>
      </c>
    </row>
    <row r="50">
      <c r="A50" s="5" t="n">
        <v>41</v>
      </c>
      <c r="B50" s="5" t="inlineStr">
        <is>
          <t>900.1702</t>
        </is>
      </c>
      <c r="C50" s="6" t="inlineStr">
        <is>
          <t>8" Water Main Adjustment</t>
        </is>
      </c>
      <c r="D50" s="5" t="inlineStr">
        <is>
          <t>EA</t>
        </is>
      </c>
      <c r="E50" s="7" t="n">
        <v>1</v>
      </c>
      <c r="F50" s="8" t="inlineStr"/>
      <c r="G50" s="8" t="inlineStr"/>
      <c r="H50" s="9" t="n">
        <v>93</v>
      </c>
      <c r="I50" s="5" t="inlineStr">
        <is>
          <t>Engineer Review</t>
        </is>
      </c>
      <c r="J50" s="8" t="inlineStr">
        <is>
          <t>Water-main callout from STA. 3+12.08, 34.95' LT TO STA. 3+31.08, 35.04' LT</t>
        </is>
      </c>
      <c r="K50" s="8" t="inlineStr">
        <is>
          <t>Direct count from plan callout: 1 EA. | validation: unit 'ea' may be inconsistent for item type</t>
        </is>
      </c>
    </row>
    <row r="51">
      <c r="A51" s="5" t="n">
        <v>42</v>
      </c>
      <c r="B51" s="5" t="inlineStr">
        <is>
          <t>900.175</t>
        </is>
      </c>
      <c r="C51" s="6" t="inlineStr">
        <is>
          <t>Connect To Existing Water Main</t>
        </is>
      </c>
      <c r="D51" s="5" t="inlineStr">
        <is>
          <t>EA</t>
        </is>
      </c>
      <c r="E51" s="7" t="n">
        <v>1</v>
      </c>
      <c r="F51" s="8" t="inlineStr"/>
      <c r="G51" s="8" t="inlineStr"/>
      <c r="H51" s="9" t="n">
        <v>93</v>
      </c>
      <c r="I51" s="5" t="inlineStr">
        <is>
          <t>Engineer Review</t>
        </is>
      </c>
      <c r="J51" s="8" t="inlineStr">
        <is>
          <t>Water-main callout from STA. 3+31.08, 35.04' LT TO STA. 3+73.01, 35.24' LT</t>
        </is>
      </c>
      <c r="K51" s="8" t="inlineStr">
        <is>
          <t>Direct count from plan callout: 1 EA. | validation: unit 'ea' may be inconsistent for item type</t>
        </is>
      </c>
    </row>
    <row r="52">
      <c r="A52" s="5" t="n">
        <v>43</v>
      </c>
      <c r="B52" s="5" t="inlineStr">
        <is>
          <t>950.57</t>
        </is>
      </c>
      <c r="C52" s="6" t="inlineStr">
        <is>
          <t>Locating Utility</t>
        </is>
      </c>
      <c r="D52" s="5" t="inlineStr">
        <is>
          <t>EA</t>
        </is>
      </c>
      <c r="E52" s="7" t="n">
        <v>20</v>
      </c>
      <c r="F52" s="8" t="inlineStr"/>
      <c r="G52" s="8" t="inlineStr"/>
      <c r="H52" s="9" t="n">
        <v>85</v>
      </c>
      <c r="I52" s="5" t="inlineStr">
        <is>
          <t>Engineer Review</t>
        </is>
      </c>
      <c r="J52" s="8" t="inlineStr">
        <is>
          <t>Sheet D2, GENERAL NOTES, heading "LOCATING UTILITY."</t>
        </is>
      </c>
      <c r="K52" s="8" t="inlineStr">
        <is>
          <t>Explicit note states: "20 locates are estimated for this project." Payment stated as contract unit price per each. | validation: unit 'ea' may be inconsistent for item type</t>
        </is>
      </c>
    </row>
    <row r="53">
      <c r="A53" s="5" t="n">
        <v>44</v>
      </c>
      <c r="B53" s="5" t="inlineStr">
        <is>
          <t>950.571</t>
        </is>
      </c>
      <c r="C53" s="6" t="inlineStr">
        <is>
          <t>Verify Utility</t>
        </is>
      </c>
      <c r="D53" s="5" t="inlineStr">
        <is>
          <t>EA</t>
        </is>
      </c>
      <c r="E53" s="7" t="n">
        <v>3</v>
      </c>
      <c r="F53" s="8" t="inlineStr"/>
      <c r="G53" s="8" t="inlineStr"/>
      <c r="H53" s="9" t="n">
        <v>85</v>
      </c>
      <c r="I53" s="5" t="inlineStr">
        <is>
          <t>Engineer Review</t>
        </is>
      </c>
      <c r="J53" s="8" t="inlineStr">
        <is>
          <t>Sheet D2, GENERAL NOTES, heading "VERIFY UTILITY."</t>
        </is>
      </c>
      <c r="K53" s="8" t="inlineStr">
        <is>
          <t>Explicit note states: "3 verifications are estimated for this project." Payment stated as contract unit price per each. | validation: unit 'ea' may be inconsistent for item type</t>
        </is>
      </c>
    </row>
    <row r="54">
      <c r="A54" s="5" t="n">
        <v>45</v>
      </c>
      <c r="B54" s="5" t="inlineStr">
        <is>
          <t>975.1</t>
        </is>
      </c>
      <c r="C54" s="6" t="inlineStr">
        <is>
          <t>Trenchless Construction</t>
        </is>
      </c>
      <c r="D54" s="5" t="inlineStr">
        <is>
          <t>LF</t>
        </is>
      </c>
      <c r="E54" s="7" t="n">
        <v>488</v>
      </c>
      <c r="F54" s="8" t="inlineStr"/>
      <c r="G54" s="8" t="inlineStr"/>
      <c r="H54" s="9" t="n">
        <v>93</v>
      </c>
      <c r="I54" s="5" t="inlineStr">
        <is>
          <t>Engineer Review</t>
        </is>
      </c>
      <c r="J54" s="8" t="inlineStr">
        <is>
          <t>Sheet D4, WATER MAIN - GENERAL, Note 1: “Approximately 244’ of the proposed main will be trenchless construction (horizontal direction drilling)”</t>
        </is>
      </c>
      <c r="K54" s="8" t="inlineStr">
        <is>
          <t>Directly extracted from explicit water-main general-note quantity; no bid-item/EOQ schedule is present on this sheet.</t>
        </is>
      </c>
    </row>
    <row r="55">
      <c r="A55" s="5" t="n">
        <v>46</v>
      </c>
      <c r="B55" s="5" t="inlineStr">
        <is>
          <t>975.11</t>
        </is>
      </c>
      <c r="C55" s="6" t="inlineStr">
        <is>
          <t>Casing Pipe</t>
        </is>
      </c>
      <c r="D55" s="5" t="inlineStr">
        <is>
          <t>LF</t>
        </is>
      </c>
      <c r="E55" s="7" t="n">
        <v>12</v>
      </c>
      <c r="F55" s="8" t="inlineStr"/>
      <c r="G55" s="8" t="inlineStr"/>
      <c r="H55" s="9" t="n">
        <v>95</v>
      </c>
      <c r="I55" s="5" t="inlineStr">
        <is>
          <t>Engineer Review</t>
        </is>
      </c>
      <c r="J55" s="8" t="inlineStr">
        <is>
          <t>Water-main callout from STA. 3+12.08, 34.95' LT TO STA. 3+31.08, 35.04' LT</t>
        </is>
      </c>
      <c r="K55" s="8" t="inlineStr">
        <is>
          <t>Direct quantity from plan callout: 12 FT.</t>
        </is>
      </c>
    </row>
    <row r="56">
      <c r="A56" s="3" t="inlineStr">
        <is>
          <t>Sanitary Sewer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</row>
    <row r="57">
      <c r="A57" s="5" t="n">
        <v>47</v>
      </c>
      <c r="B57" s="5" t="inlineStr">
        <is>
          <t>950.495</t>
        </is>
      </c>
      <c r="C57" s="6" t="inlineStr">
        <is>
          <t>4" Sanitary Sewer Service</t>
        </is>
      </c>
      <c r="D57" s="5" t="inlineStr">
        <is>
          <t>LF</t>
        </is>
      </c>
      <c r="E57" s="7" t="n">
        <v>150</v>
      </c>
      <c r="F57" s="8" t="inlineStr"/>
      <c r="G57" s="8" t="inlineStr"/>
      <c r="H57" s="9" t="n">
        <v>93</v>
      </c>
      <c r="I57" s="5" t="inlineStr">
        <is>
          <t>Engineer Review</t>
        </is>
      </c>
      <c r="J57" s="8" t="inlineStr">
        <is>
          <t>Sewer Main Trench North of Existing Access Drive (to Detention Pond), STA. 3+05 TO 4+55; callout identifies PROPOSED SANITARY SEWER.</t>
        </is>
      </c>
      <c r="K57" s="8" t="inlineStr">
        <is>
          <t>Station 4+55 minus station 3+05 = 150 Ft. Pipe size is not identified on this sheet.</t>
        </is>
      </c>
    </row>
    <row r="58">
      <c r="A58" s="5" t="n">
        <v>48</v>
      </c>
      <c r="B58" s="5" t="inlineStr">
        <is>
          <t>950.5001</t>
        </is>
      </c>
      <c r="C58" s="6" t="inlineStr">
        <is>
          <t>Adjust Manhole - Asphalt Streets</t>
        </is>
      </c>
      <c r="D58" s="5" t="inlineStr">
        <is>
          <t>EA</t>
        </is>
      </c>
      <c r="E58" s="7" t="n">
        <v>1</v>
      </c>
      <c r="F58" s="8" t="inlineStr"/>
      <c r="G58" s="8" t="inlineStr"/>
      <c r="H58" s="9" t="n">
        <v>95</v>
      </c>
      <c r="I58" s="5" t="inlineStr">
        <is>
          <t>Engineer Review</t>
        </is>
      </c>
      <c r="J58" s="8" t="inlineStr">
        <is>
          <t>Sanitary sewer callout at STA. 0+50.27 - 0.0' LT, SMH#06F0011C.</t>
        </is>
      </c>
      <c r="K58" s="8" t="inlineStr">
        <is>
          <t>Explicit plan callout: 1 EA.</t>
        </is>
      </c>
    </row>
    <row r="59">
      <c r="A59" s="3" t="inlineStr">
        <is>
          <t>Landscaping &amp; Irrigation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</row>
    <row r="60">
      <c r="A60" s="5" t="n">
        <v>49</v>
      </c>
      <c r="B60" s="5" t="inlineStr">
        <is>
          <t>110.5021</t>
        </is>
      </c>
      <c r="C60" s="6" t="inlineStr">
        <is>
          <t>Salvage Traffic Sign for Reset</t>
        </is>
      </c>
      <c r="D60" s="5" t="inlineStr">
        <is>
          <t>EA</t>
        </is>
      </c>
      <c r="E60" s="7" t="n">
        <v>5</v>
      </c>
      <c r="F60" s="8" t="inlineStr"/>
      <c r="G60" s="8" t="inlineStr"/>
      <c r="H60" s="9" t="n">
        <v>93</v>
      </c>
      <c r="I60" s="5" t="inlineStr">
        <is>
          <t>Engineer Review</t>
        </is>
      </c>
      <c r="J60" s="8" t="inlineStr">
        <is>
          <t>Sheet G.3 callout at southwest project area: "SALVAGE AND RESET PLANTS - 5 EACH".</t>
        </is>
      </c>
      <c r="K60" s="8" t="inlineStr">
        <is>
          <t>Explicit drawing callout quantity; no calculation performed. | validation: unit 'ea' may be inconsistent for item type</t>
        </is>
      </c>
    </row>
    <row r="61">
      <c r="A61" s="5" t="n">
        <v>50</v>
      </c>
      <c r="B61" s="5" t="inlineStr">
        <is>
          <t>Special</t>
        </is>
      </c>
      <c r="C61" s="6" t="inlineStr">
        <is>
          <t>Remove &amp; Reset Landscaping</t>
        </is>
      </c>
      <c r="D61" s="5" t="inlineStr">
        <is>
          <t>SY</t>
        </is>
      </c>
      <c r="E61" s="7" t="n">
        <v>26</v>
      </c>
      <c r="F61" s="8" t="inlineStr"/>
      <c r="G61" s="8" t="inlineStr"/>
      <c r="H61" s="9" t="n">
        <v>95</v>
      </c>
      <c r="I61" s="5" t="inlineStr">
        <is>
          <t>Engineer Review</t>
        </is>
      </c>
      <c r="J61" s="8" t="inlineStr">
        <is>
          <t>Sheet G.3 callout at southwest project area: "REMOVE &amp; RESET LANDSCAPING - 26 SY".</t>
        </is>
      </c>
      <c r="K61" s="8" t="inlineStr">
        <is>
          <t>Explicit drawing callout quantity; no calculation performed. — not matched to AutoVAD master template (Bid Item List 2026.xlsx)</t>
        </is>
      </c>
    </row>
  </sheetData>
  <mergeCells count="10">
    <mergeCell ref="A37:K37"/>
    <mergeCell ref="A3:K3"/>
    <mergeCell ref="A7:K7"/>
    <mergeCell ref="A59:K59"/>
    <mergeCell ref="A19:K19"/>
    <mergeCell ref="A5:K5"/>
    <mergeCell ref="A13:K13"/>
    <mergeCell ref="A1:K1"/>
    <mergeCell ref="A17:K17"/>
    <mergeCell ref="A56:K56"/>
  </mergeCells>
  <conditionalFormatting sqref="I3:I61">
    <cfRule type="cellIs" priority="1" operator="equal" dxfId="0" stopIfTrue="1">
      <formula>"Verified"</formula>
    </cfRule>
    <cfRule type="cellIs" priority="2" operator="equal" dxfId="1" stopIfTrue="1">
      <formula>"Engineer Review"</formula>
    </cfRule>
  </conditionalFormatting>
  <dataValidations count="1">
    <dataValidation sqref="I3:I61" showDropDown="0" showInputMessage="0" showErrorMessage="1" allowBlank="0" errorTitle="Invalid status" error="Choose Verified or Engineer Review" type="list">
      <formula1>"Verified,Engineer Review"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8" customWidth="1" min="3" max="3"/>
    <col width="12" customWidth="1" min="4" max="4"/>
    <col width="28" customWidth="1" min="5" max="5"/>
    <col width="40" customWidth="1" min="6" max="6"/>
  </cols>
  <sheetData>
    <row r="1">
      <c r="A1" s="2" t="inlineStr">
        <is>
          <t>Bid Item</t>
        </is>
      </c>
      <c r="B1" s="2" t="inlineStr">
        <is>
          <t>Description</t>
        </is>
      </c>
      <c r="C1" s="2" t="inlineStr">
        <is>
          <t>Unit</t>
        </is>
      </c>
      <c r="D1" s="2" t="inlineStr">
        <is>
          <t>Quantity</t>
        </is>
      </c>
      <c r="E1" s="2" t="inlineStr">
        <is>
          <t>Detail Source</t>
        </is>
      </c>
      <c r="F1" s="2" t="inlineStr">
        <is>
          <t>Rollup Note</t>
        </is>
      </c>
    </row>
    <row r="2">
      <c r="A2" t="inlineStr">
        <is>
          <t>No CAD utility detail yet. Process DWG/DXF, then re-export — summary quantities are generated from Linear + Fittings detail sheets.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2" customWidth="1" min="4" max="4"/>
    <col width="8" customWidth="1" min="5" max="5"/>
    <col width="12" customWidth="1" min="6" max="6"/>
    <col width="14" customWidth="1" min="7" max="7"/>
    <col width="14" customWidth="1" min="8" max="8"/>
    <col width="12" customWidth="1" min="9" max="9"/>
    <col width="12" customWidth="1" min="10" max="10"/>
    <col width="22" customWidth="1" min="11" max="11"/>
    <col width="16" customWidth="1" min="12" max="12"/>
    <col width="22" customWidth="1" min="13" max="13"/>
  </cols>
  <sheetData>
    <row r="1">
      <c r="A1" s="2" t="inlineStr">
        <is>
          <t>Item</t>
        </is>
      </c>
      <c r="B1" s="2" t="inlineStr">
        <is>
          <t>Size</t>
        </is>
      </c>
      <c r="C1" s="2" t="inlineStr">
        <is>
          <t>From Sta.</t>
        </is>
      </c>
      <c r="D1" s="2" t="inlineStr">
        <is>
          <t>To Sta.</t>
        </is>
      </c>
      <c r="E1" s="2" t="inlineStr">
        <is>
          <t>Side</t>
        </is>
      </c>
      <c r="F1" s="2" t="inlineStr">
        <is>
          <t>Offset</t>
        </is>
      </c>
      <c r="G1" s="2" t="inlineStr">
        <is>
          <t>From Offset</t>
        </is>
      </c>
      <c r="H1" s="2" t="inlineStr">
        <is>
          <t>To Offset</t>
        </is>
      </c>
      <c r="I1" s="2" t="inlineStr">
        <is>
          <t>Length (LF)</t>
        </is>
      </c>
      <c r="J1" s="2" t="inlineStr">
        <is>
          <t>Non-Parallel</t>
        </is>
      </c>
      <c r="K1" s="2" t="inlineStr">
        <is>
          <t>Alignment (CL)</t>
        </is>
      </c>
      <c r="L1" s="2" t="inlineStr">
        <is>
          <t>Layer</t>
        </is>
      </c>
      <c r="M1" s="2" t="inlineStr">
        <is>
          <t>Source</t>
        </is>
      </c>
    </row>
    <row r="2">
      <c r="A2" t="inlineStr">
        <is>
          <t>No linear utility runs found. Process CAD with pipes/polylines or station callouts. Stationing is always on the project CENTERLINE.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8" customWidth="1" min="4" max="4"/>
    <col width="12" customWidth="1" min="5" max="5"/>
    <col width="12" customWidth="1" min="6" max="6"/>
    <col width="22" customWidth="1" min="7" max="7"/>
    <col width="16" customWidth="1" min="8" max="8"/>
    <col width="6" customWidth="1" min="9" max="9"/>
    <col width="22" customWidth="1" min="10" max="10"/>
    <col width="16" customWidth="1" min="11" max="11"/>
    <col width="20" customWidth="1" min="12" max="12"/>
  </cols>
  <sheetData>
    <row r="1">
      <c r="A1" s="2" t="inlineStr">
        <is>
          <t>Type</t>
        </is>
      </c>
      <c r="B1" s="2" t="inlineStr">
        <is>
          <t>Size</t>
        </is>
      </c>
      <c r="C1" s="2" t="inlineStr">
        <is>
          <t>Station</t>
        </is>
      </c>
      <c r="D1" s="2" t="inlineStr">
        <is>
          <t>Side</t>
        </is>
      </c>
      <c r="E1" s="2" t="inlineStr">
        <is>
          <t>Offset</t>
        </is>
      </c>
      <c r="F1" s="2" t="inlineStr">
        <is>
          <t>Angle/Type</t>
        </is>
      </c>
      <c r="G1" s="2" t="inlineStr">
        <is>
          <t>Connects To</t>
        </is>
      </c>
      <c r="H1" s="2" t="inlineStr">
        <is>
          <t>Utility</t>
        </is>
      </c>
      <c r="I1" s="2" t="inlineStr">
        <is>
          <t>Qty</t>
        </is>
      </c>
      <c r="J1" s="2" t="inlineStr">
        <is>
          <t>Alignment (CL)</t>
        </is>
      </c>
      <c r="K1" s="2" t="inlineStr">
        <is>
          <t>Layer</t>
        </is>
      </c>
      <c r="L1" s="2" t="inlineStr">
        <is>
          <t>Source</t>
        </is>
      </c>
    </row>
    <row r="2">
      <c r="A2" t="inlineStr">
        <is>
          <t>No bends/fittings/connections located. Process CAD with fitting blocks or pipe polylines that deflect at vertices.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8" customWidth="1" min="3" max="3"/>
    <col width="24" customWidth="1" min="4" max="4"/>
    <col width="18" customWidth="1" min="5" max="5"/>
    <col width="40" customWidth="1" min="6" max="6"/>
  </cols>
  <sheetData>
    <row r="1">
      <c r="A1" s="2" t="inlineStr">
        <is>
          <t>Severity</t>
        </is>
      </c>
      <c r="B1" s="2" t="inlineStr">
        <is>
          <t>Issue</t>
        </is>
      </c>
      <c r="C1" s="2" t="inlineStr">
        <is>
          <t>Message</t>
        </is>
      </c>
      <c r="D1" s="2" t="inlineStr">
        <is>
          <t>Object</t>
        </is>
      </c>
      <c r="E1" s="2" t="inlineStr">
        <is>
          <t>Station</t>
        </is>
      </c>
      <c r="F1" s="2" t="inlineStr">
        <is>
          <t>Suggestion</t>
        </is>
      </c>
    </row>
    <row r="2">
      <c r="A2" t="inlineStr">
        <is>
          <t>No QA flags. Process CAD to populate stationing QA (unidentified fittings, unassociated lines, overlaps, low confidence).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Estimate Of Quantities Title</t>
        </is>
      </c>
      <c r="B1" t="inlineStr">
        <is>
          <t>1111 - Estimate Of Quantities v1 · 50th and Western Plans for Vish (1).pdf</t>
        </is>
      </c>
    </row>
    <row r="2">
      <c r="A2" t="inlineStr">
        <is>
          <t>Version</t>
        </is>
      </c>
      <c r="B2" t="n">
        <v>1</v>
      </c>
    </row>
    <row r="3">
      <c r="A3" t="inlineStr">
        <is>
          <t>Status</t>
        </is>
      </c>
      <c r="B3" t="inlineStr">
        <is>
          <t>ai_generated</t>
        </is>
      </c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Notes</t>
        </is>
      </c>
      <c r="B5" t="inlineStr">
        <is>
          <t>Generated from document AI + CAD with CSI codes, units, and confidence scores. Matched extracted quantities to AutoVAD master template (Bid Item List 2026.xlsx) (30 matched item(s); 19 unmatched takeoff item(s)). Deterministic validation: Flagged 28 unit-sanity mismatch row(s) for engineer review. Scope: selected document_id(s) [55].</t>
        </is>
      </c>
    </row>
    <row r="6">
      <c r="A6" t="inlineStr">
        <is>
          <t>Generated by</t>
        </is>
      </c>
      <c r="B6" t="inlineStr">
        <is>
          <t>AutoVAD</t>
        </is>
      </c>
    </row>
    <row r="7">
      <c r="A7" t="inlineStr">
        <is>
          <t>Layout</t>
        </is>
      </c>
      <c r="B7" t="inlineStr">
        <is>
          <t>Full Estimate Of Quantities columns with municipal section grouping (Removals, Grading, Watermain, Sanitary Sewer, …)</t>
        </is>
      </c>
    </row>
    <row r="8">
      <c r="A8" t="inlineStr">
        <is>
          <t>Utility sheets</t>
        </is>
      </c>
      <c r="B8" t="inlineStr">
        <is>
          <t>Bid Quantity Summary is rolled up FROM Linear Quantity Breakdown + Fittings Bends Connections. Stationing is always on the project CENTERLINE (CL); LT/RT from alignment geometry. Quantity QAQC flags unassociated / overlapping / low-confidence items.</t>
        </is>
      </c>
    </row>
    <row r="9">
      <c r="A9" t="inlineStr">
        <is>
          <t>Template rule</t>
        </is>
      </c>
      <c r="B9" t="inlineStr">
        <is>
          <t>AutoVAD standard template is always used for project EOQ generation</t>
        </is>
      </c>
    </row>
    <row r="10">
      <c r="A10" t="inlineStr">
        <is>
          <t>Status rule</t>
        </is>
      </c>
      <c r="B10" t="inlineStr">
        <is>
          <t>Verified when AI confidence &gt;= 97; else Engineer Review</t>
        </is>
      </c>
    </row>
    <row r="11">
      <c r="A11" t="inlineStr">
        <is>
          <t>Columns</t>
        </is>
      </c>
      <c r="B11" t="inlineStr">
        <is>
          <t>Item Number, Standard Bid Item Number, Item Description, Unit, Quantity, Cost, Total Cost, AI Confidence, Status, Source, Calculation Method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2026-10-02T17:45:05Z</dcterms:created>
  <dcterms:modified xmlns:dcterms="http://purl.org/dc/terms/" xmlns:xsi="http://www.w3.org/2001/XMLSchema-instance" xsi:type="dcterms:W3CDTF">2026-10-02T17:45:06Z</dcterms:modified>
</cp:coreProperties>
</file>