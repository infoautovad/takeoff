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stimate Of Quantities" sheetId="1" state="visible" r:id="rId1"/>
    <sheet xmlns:r="http://schemas.openxmlformats.org/officeDocument/2006/relationships" name="Bid Quantity Summary" sheetId="2" state="visible" r:id="rId2"/>
    <sheet xmlns:r="http://schemas.openxmlformats.org/officeDocument/2006/relationships" name="Linear Quantity Breakdown" sheetId="3" state="visible" r:id="rId3"/>
    <sheet xmlns:r="http://schemas.openxmlformats.org/officeDocument/2006/relationships" name="Fittings Bends Connections" sheetId="4" state="visible" r:id="rId4"/>
    <sheet xmlns:r="http://schemas.openxmlformats.org/officeDocument/2006/relationships" name="Quantity QAQC" sheetId="5" state="visible" r:id="rId5"/>
    <sheet xmlns:r="http://schemas.openxmlformats.org/officeDocument/2006/relationships" name="Meta"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D9FF43"/>
      <sz val="14"/>
    </font>
    <font>
      <b val="1"/>
      <color rgb="00D9FF43"/>
    </font>
    <font>
      <name val="Calibri"/>
      <b val="1"/>
      <color rgb="001F4E79"/>
      <sz val="11"/>
    </font>
    <font>
      <b val="1"/>
      <color rgb="00006100"/>
    </font>
    <font>
      <b val="1"/>
      <color rgb="009C0006"/>
    </font>
  </fonts>
  <fills count="6">
    <fill>
      <patternFill/>
    </fill>
    <fill>
      <patternFill patternType="gray125"/>
    </fill>
    <fill>
      <patternFill patternType="solid">
        <fgColor rgb="000D1F19"/>
      </patternFill>
    </fill>
    <fill>
      <patternFill patternType="solid">
        <fgColor rgb="00D9E2F3"/>
      </patternFill>
    </fill>
    <fill>
      <patternFill patternType="solid">
        <fgColor rgb="00C6EFCE"/>
      </patternFill>
    </fill>
    <fill>
      <patternFill patternType="solid">
        <fgColor rgb="00FFC7CE"/>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wrapText="1"/>
    </xf>
    <xf numFmtId="0" fontId="3" fillId="3" borderId="1" applyAlignment="1" pivotButton="0" quotePrefix="0" xfId="0">
      <alignment horizontal="left" vertical="center"/>
    </xf>
    <xf numFmtId="0" fontId="0" fillId="3" borderId="1" pivotButton="0" quotePrefix="0" xfId="0"/>
    <xf numFmtId="0" fontId="0" fillId="0" borderId="1" applyAlignment="1" pivotButton="0" quotePrefix="0" xfId="0">
      <alignment horizontal="center"/>
    </xf>
    <xf numFmtId="0" fontId="0" fillId="0" borderId="1" applyAlignment="1" pivotButton="0" quotePrefix="0" xfId="0">
      <alignment horizontal="left" wrapText="1"/>
    </xf>
    <xf numFmtId="2" fontId="0" fillId="0" borderId="1" applyAlignment="1" pivotButton="0" quotePrefix="0" xfId="0">
      <alignment horizontal="right"/>
    </xf>
    <xf numFmtId="0" fontId="0" fillId="0" borderId="1" pivotButton="0" quotePrefix="0" xfId="0"/>
    <xf numFmtId="2" fontId="0" fillId="0" borderId="1" pivotButton="0" quotePrefix="0" xfId="0"/>
    <xf numFmtId="0" fontId="4" fillId="4" borderId="1" pivotButton="0" quotePrefix="0" xfId="0"/>
    <xf numFmtId="0" fontId="5" fillId="5" borderId="1" pivotButton="0" quotePrefix="0" xfId="0"/>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1"/>
  <sheetViews>
    <sheetView workbookViewId="0">
      <pane ySplit="2" topLeftCell="A3" activePane="bottomLeft" state="frozen"/>
      <selection pane="bottomLeft" activeCell="A1" sqref="A1"/>
    </sheetView>
  </sheetViews>
  <sheetFormatPr baseColWidth="8" defaultRowHeight="15"/>
  <cols>
    <col width="12" customWidth="1" min="1" max="1"/>
    <col width="22" customWidth="1" min="2" max="2"/>
    <col width="42" customWidth="1" min="3" max="3"/>
    <col width="10" customWidth="1" min="4" max="4"/>
    <col width="12" customWidth="1" min="5" max="5"/>
    <col width="12" customWidth="1" min="6" max="6"/>
    <col width="12" customWidth="1" min="7" max="7"/>
    <col width="14" customWidth="1" min="8" max="8"/>
    <col width="16" customWidth="1" min="9" max="9"/>
    <col width="28" customWidth="1" min="10" max="10"/>
    <col width="28" customWidth="1" min="11" max="11"/>
  </cols>
  <sheetData>
    <row r="1" ht="26" customHeight="1">
      <c r="A1" s="1" t="inlineStr">
        <is>
          <t>ESTIMATE OF QUANTITIES</t>
        </is>
      </c>
    </row>
    <row r="2">
      <c r="A2" s="2" t="inlineStr">
        <is>
          <t>Item Number</t>
        </is>
      </c>
      <c r="B2" s="2" t="inlineStr">
        <is>
          <t>Standard Bid Item Number</t>
        </is>
      </c>
      <c r="C2" s="2" t="inlineStr">
        <is>
          <t>Item Description</t>
        </is>
      </c>
      <c r="D2" s="2" t="inlineStr">
        <is>
          <t>Unit</t>
        </is>
      </c>
      <c r="E2" s="2" t="inlineStr">
        <is>
          <t>Quantity</t>
        </is>
      </c>
      <c r="F2" s="2" t="inlineStr">
        <is>
          <t>Cost</t>
        </is>
      </c>
      <c r="G2" s="2" t="inlineStr">
        <is>
          <t>Total Cost</t>
        </is>
      </c>
      <c r="H2" s="2" t="inlineStr">
        <is>
          <t>AI Confidence</t>
        </is>
      </c>
      <c r="I2" s="2" t="inlineStr">
        <is>
          <t>Status</t>
        </is>
      </c>
      <c r="J2" s="2" t="inlineStr">
        <is>
          <t>Source</t>
        </is>
      </c>
      <c r="K2" s="2" t="inlineStr">
        <is>
          <t>Calculation Method</t>
        </is>
      </c>
    </row>
    <row r="3">
      <c r="A3" s="3" t="inlineStr">
        <is>
          <t>General / Traffic Control</t>
        </is>
      </c>
      <c r="B3" s="4" t="n"/>
      <c r="C3" s="4" t="n"/>
      <c r="D3" s="4" t="n"/>
      <c r="E3" s="4" t="n"/>
      <c r="F3" s="4" t="n"/>
      <c r="G3" s="4" t="n"/>
      <c r="H3" s="4" t="n"/>
      <c r="I3" s="4" t="n"/>
      <c r="J3" s="4" t="n"/>
      <c r="K3" s="4" t="n"/>
    </row>
    <row r="4">
      <c r="A4" s="5" t="n">
        <v>1</v>
      </c>
      <c r="B4" s="5" t="inlineStr"/>
      <c r="C4" s="6" t="inlineStr">
        <is>
          <t>Type III Barricade - 8 Ft. Double Sided</t>
        </is>
      </c>
      <c r="D4" s="5" t="inlineStr">
        <is>
          <t>EA</t>
        </is>
      </c>
      <c r="E4" s="7" t="n">
        <v>10</v>
      </c>
      <c r="F4" s="8" t="inlineStr"/>
      <c r="G4" s="8" t="inlineStr"/>
      <c r="H4" s="9" t="n">
        <v>98</v>
      </c>
      <c r="I4" s="10" t="inlineStr">
        <is>
          <t>Verified</t>
        </is>
      </c>
      <c r="J4" s="8" t="inlineStr">
        <is>
          <t>Sheet F3, traffic-control itemized table, Project Totals column</t>
        </is>
      </c>
      <c r="K4" s="8" t="inlineStr">
        <is>
          <t>Extracted from table cell: Project Total = 10.</t>
        </is>
      </c>
    </row>
    <row r="5">
      <c r="A5" s="5" t="n">
        <v>2</v>
      </c>
      <c r="B5" s="5" t="inlineStr"/>
      <c r="C5" s="6" t="inlineStr">
        <is>
          <t>42 in Channelizer</t>
        </is>
      </c>
      <c r="D5" s="5" t="inlineStr">
        <is>
          <t>EA</t>
        </is>
      </c>
      <c r="E5" s="7" t="n">
        <v>8</v>
      </c>
      <c r="F5" s="8" t="inlineStr"/>
      <c r="G5" s="8" t="inlineStr"/>
      <c r="H5" s="9" t="n">
        <v>93</v>
      </c>
      <c r="I5" s="11" t="inlineStr">
        <is>
          <t>Engineer Review</t>
        </is>
      </c>
      <c r="J5" s="8" t="inlineStr">
        <is>
          <t>Sheets F9-F12 each show two 42-in channelizer symbols: two on F9, two on F10, two on F11, and two on F12.</t>
        </is>
      </c>
      <c r="K5" s="8" t="inlineStr">
        <is>
          <t>Graphic count = 2 channelizers per sheet x 4 traffic-control sheets = 8 Each.</t>
        </is>
      </c>
    </row>
    <row r="6">
      <c r="A6" s="5" t="n">
        <v>3</v>
      </c>
      <c r="B6" s="5" t="inlineStr"/>
      <c r="C6" s="6" t="inlineStr">
        <is>
          <t>Traffic Control</t>
        </is>
      </c>
      <c r="D6" s="5" t="inlineStr">
        <is>
          <t>SF</t>
        </is>
      </c>
      <c r="E6" s="7" t="n">
        <v>178.75</v>
      </c>
      <c r="F6" s="8" t="inlineStr"/>
      <c r="G6" s="8" t="inlineStr"/>
      <c r="H6" s="9" t="n">
        <v>93</v>
      </c>
      <c r="I6" s="11" t="inlineStr">
        <is>
          <t>Engineer Review</t>
        </is>
      </c>
      <c r="J6" s="8" t="inlineStr">
        <is>
          <t>codes R4-7; MUTCD ref https://mutcd.fhwa.dot.gov/kno_11th_Editionr1.htm</t>
        </is>
      </c>
      <c r="K6" s="8" t="inlineStr">
        <is>
          <t>Consolidated 5 traffic sign(s) into SqFt of sign face. USA pay unit is square feet, not inches: width(in)×height(in)÷144. Size sources: default_conventional_30x30, mutcd:R4-7. 4 × 30 in × 30 in = 6.25 SqFt (in²÷144); 8 × 30 in × 30 in = 6.25 SqFt (in²÷144); 2 × 30 in × 30 in = 6.25 SqFt (in²÷144); 2 × 30 in × 30 in = 6.25 SqFt (in²÷144); 24 in × 30 in = 5 SqFt (in²÷144)</t>
        </is>
      </c>
    </row>
    <row r="7">
      <c r="A7" s="3" t="inlineStr">
        <is>
          <t>Removals</t>
        </is>
      </c>
      <c r="B7" s="4" t="n"/>
      <c r="C7" s="4" t="n"/>
      <c r="D7" s="4" t="n"/>
      <c r="E7" s="4" t="n"/>
      <c r="F7" s="4" t="n"/>
      <c r="G7" s="4" t="n"/>
      <c r="H7" s="4" t="n"/>
      <c r="I7" s="4" t="n"/>
      <c r="J7" s="4" t="n"/>
      <c r="K7" s="4" t="n"/>
    </row>
    <row r="8">
      <c r="A8" s="5" t="n">
        <v>4</v>
      </c>
      <c r="B8" s="5" t="inlineStr"/>
      <c r="C8" s="6" t="inlineStr">
        <is>
          <t>Remove and Relocate Fire Hydrant</t>
        </is>
      </c>
      <c r="D8" s="5" t="inlineStr">
        <is>
          <t>EA</t>
        </is>
      </c>
      <c r="E8" s="7" t="n">
        <v>1</v>
      </c>
      <c r="F8" s="8" t="inlineStr"/>
      <c r="G8" s="8" t="inlineStr"/>
      <c r="H8" s="9" t="n">
        <v>98</v>
      </c>
      <c r="I8" s="10" t="inlineStr">
        <is>
          <t>Verified</t>
        </is>
      </c>
      <c r="J8" s="8" t="inlineStr">
        <is>
          <t>Table of Remove and Relocate Hydrant</t>
        </is>
      </c>
      <c r="K8" s="8" t="inlineStr">
        <is>
          <t>Extracted table total.</t>
        </is>
      </c>
    </row>
    <row r="9">
      <c r="A9" s="5" t="n">
        <v>5</v>
      </c>
      <c r="B9" s="5" t="inlineStr"/>
      <c r="C9" s="6" t="inlineStr">
        <is>
          <t>Remove Concrete Curb and Gutter</t>
        </is>
      </c>
      <c r="D9" s="5" t="inlineStr">
        <is>
          <t>LF</t>
        </is>
      </c>
      <c r="E9" s="7" t="n">
        <v>220</v>
      </c>
      <c r="F9" s="8" t="inlineStr"/>
      <c r="G9" s="8" t="inlineStr"/>
      <c r="H9" s="9" t="n">
        <v>99</v>
      </c>
      <c r="I9" s="10" t="inlineStr">
        <is>
          <t>Verified</t>
        </is>
      </c>
      <c r="J9" s="8" t="inlineStr">
        <is>
          <t>Table of Remove Concrete Curb and Gutter</t>
        </is>
      </c>
      <c r="K9" s="8" t="inlineStr">
        <is>
          <t>Extracted table total.</t>
        </is>
      </c>
    </row>
    <row r="10">
      <c r="A10" s="5" t="n">
        <v>6</v>
      </c>
      <c r="B10" s="5" t="inlineStr"/>
      <c r="C10" s="6" t="inlineStr">
        <is>
          <t>Remove Asphalt Concrete Pavement</t>
        </is>
      </c>
      <c r="D10" s="5" t="inlineStr">
        <is>
          <t>SY</t>
        </is>
      </c>
      <c r="E10" s="7" t="n">
        <v>4135</v>
      </c>
      <c r="F10" s="8" t="inlineStr"/>
      <c r="G10" s="8" t="inlineStr"/>
      <c r="H10" s="9" t="n">
        <v>99</v>
      </c>
      <c r="I10" s="10" t="inlineStr">
        <is>
          <t>Verified</t>
        </is>
      </c>
      <c r="J10" s="8" t="inlineStr">
        <is>
          <t>Table of Remove Asphalt Concrete Pavement</t>
        </is>
      </c>
      <c r="K10" s="8" t="inlineStr">
        <is>
          <t>Extracted table total.</t>
        </is>
      </c>
    </row>
    <row r="11">
      <c r="A11" s="5" t="n">
        <v>7</v>
      </c>
      <c r="B11" s="5" t="inlineStr"/>
      <c r="C11" s="6" t="inlineStr">
        <is>
          <t>Remove Concrete Pavement</t>
        </is>
      </c>
      <c r="D11" s="5" t="inlineStr">
        <is>
          <t>SY</t>
        </is>
      </c>
      <c r="E11" s="7" t="n">
        <v>6</v>
      </c>
      <c r="F11" s="8" t="inlineStr"/>
      <c r="G11" s="8" t="inlineStr"/>
      <c r="H11" s="9" t="n">
        <v>99</v>
      </c>
      <c r="I11" s="10" t="inlineStr">
        <is>
          <t>Verified</t>
        </is>
      </c>
      <c r="J11" s="8" t="inlineStr">
        <is>
          <t>Table of Remove Concrete Pavement</t>
        </is>
      </c>
      <c r="K11" s="8" t="inlineStr">
        <is>
          <t>Extracted table total.</t>
        </is>
      </c>
    </row>
    <row r="12">
      <c r="A12" s="5" t="n">
        <v>8</v>
      </c>
      <c r="B12" s="5" t="inlineStr"/>
      <c r="C12" s="6" t="inlineStr">
        <is>
          <t>Saw Existing Asphalt Pavement</t>
        </is>
      </c>
      <c r="D12" s="5" t="inlineStr">
        <is>
          <t>LF</t>
        </is>
      </c>
      <c r="E12" s="7" t="n">
        <v>47</v>
      </c>
      <c r="F12" s="8" t="inlineStr"/>
      <c r="G12" s="8" t="inlineStr"/>
      <c r="H12" s="9" t="n">
        <v>99</v>
      </c>
      <c r="I12" s="10" t="inlineStr">
        <is>
          <t>Verified</t>
        </is>
      </c>
      <c r="J12" s="8" t="inlineStr">
        <is>
          <t>Table of Saw Existing Asphalt Pavement</t>
        </is>
      </c>
      <c r="K12" s="8" t="inlineStr">
        <is>
          <t>Extracted table total.</t>
        </is>
      </c>
    </row>
    <row r="13">
      <c r="A13" s="5" t="n">
        <v>9</v>
      </c>
      <c r="B13" s="5" t="inlineStr"/>
      <c r="C13" s="6" t="inlineStr">
        <is>
          <t>Saw Existing PCC Pavement</t>
        </is>
      </c>
      <c r="D13" s="5" t="inlineStr">
        <is>
          <t>LF</t>
        </is>
      </c>
      <c r="E13" s="7" t="n">
        <v>22</v>
      </c>
      <c r="F13" s="8" t="inlineStr"/>
      <c r="G13" s="8" t="inlineStr"/>
      <c r="H13" s="9" t="n">
        <v>99</v>
      </c>
      <c r="I13" s="10" t="inlineStr">
        <is>
          <t>Verified</t>
        </is>
      </c>
      <c r="J13" s="8" t="inlineStr">
        <is>
          <t>Table of Saw Existing PCC Pavement</t>
        </is>
      </c>
      <c r="K13" s="8" t="inlineStr">
        <is>
          <t>Extracted table total.</t>
        </is>
      </c>
    </row>
    <row r="14">
      <c r="A14" s="5" t="n">
        <v>10</v>
      </c>
      <c r="B14" s="5" t="inlineStr"/>
      <c r="C14" s="6" t="inlineStr">
        <is>
          <t>Remove Storm Sewer Pipe</t>
        </is>
      </c>
      <c r="D14" s="5" t="inlineStr">
        <is>
          <t>LF</t>
        </is>
      </c>
      <c r="E14" s="7" t="n">
        <v>368</v>
      </c>
      <c r="F14" s="8" t="inlineStr"/>
      <c r="G14" s="8" t="inlineStr"/>
      <c r="H14" s="9" t="n">
        <v>99</v>
      </c>
      <c r="I14" s="10" t="inlineStr">
        <is>
          <t>Verified</t>
        </is>
      </c>
      <c r="J14" s="8" t="inlineStr">
        <is>
          <t>Table of Remove Storm Sewer Pipe</t>
        </is>
      </c>
      <c r="K14" s="8" t="inlineStr">
        <is>
          <t>Extracted table total.</t>
        </is>
      </c>
    </row>
    <row r="15">
      <c r="A15" s="5" t="n">
        <v>11</v>
      </c>
      <c r="B15" s="5" t="inlineStr"/>
      <c r="C15" s="6" t="inlineStr">
        <is>
          <t>Remove Water Main Pipe</t>
        </is>
      </c>
      <c r="D15" s="5" t="inlineStr">
        <is>
          <t>LF</t>
        </is>
      </c>
      <c r="E15" s="7" t="n">
        <v>20</v>
      </c>
      <c r="F15" s="8" t="inlineStr"/>
      <c r="G15" s="8" t="inlineStr"/>
      <c r="H15" s="9" t="n">
        <v>99</v>
      </c>
      <c r="I15" s="10" t="inlineStr">
        <is>
          <t>Verified</t>
        </is>
      </c>
      <c r="J15" s="8" t="inlineStr">
        <is>
          <t>Table of Remove Water Main Pipe</t>
        </is>
      </c>
      <c r="K15" s="8" t="inlineStr">
        <is>
          <t>Extracted table total.</t>
        </is>
      </c>
    </row>
    <row r="16">
      <c r="A16" s="5" t="n">
        <v>12</v>
      </c>
      <c r="B16" s="5" t="inlineStr"/>
      <c r="C16" s="6" t="inlineStr">
        <is>
          <t>Remove Fence</t>
        </is>
      </c>
      <c r="D16" s="5" t="inlineStr">
        <is>
          <t>LF</t>
        </is>
      </c>
      <c r="E16" s="7" t="n">
        <v>1285</v>
      </c>
      <c r="F16" s="8" t="inlineStr"/>
      <c r="G16" s="8" t="inlineStr"/>
      <c r="H16" s="9" t="n">
        <v>99</v>
      </c>
      <c r="I16" s="10" t="inlineStr">
        <is>
          <t>Verified</t>
        </is>
      </c>
      <c r="J16" s="8" t="inlineStr">
        <is>
          <t>Table of Remove Fence</t>
        </is>
      </c>
      <c r="K16" s="8" t="inlineStr">
        <is>
          <t>Extracted table total.</t>
        </is>
      </c>
    </row>
    <row r="17">
      <c r="A17" s="5" t="n">
        <v>13</v>
      </c>
      <c r="B17" s="5" t="inlineStr"/>
      <c r="C17" s="6" t="inlineStr">
        <is>
          <t>Remove Pipe End Section for Reset</t>
        </is>
      </c>
      <c r="D17" s="5" t="inlineStr">
        <is>
          <t>EA</t>
        </is>
      </c>
      <c r="E17" s="7" t="n">
        <v>2</v>
      </c>
      <c r="F17" s="8" t="inlineStr"/>
      <c r="G17" s="8" t="inlineStr"/>
      <c r="H17" s="9" t="n">
        <v>99</v>
      </c>
      <c r="I17" s="10" t="inlineStr">
        <is>
          <t>Verified</t>
        </is>
      </c>
      <c r="J17" s="8" t="inlineStr">
        <is>
          <t>Table of Remove Pipe End Section for Reset</t>
        </is>
      </c>
      <c r="K17" s="8" t="inlineStr">
        <is>
          <t>Extracted table total.</t>
        </is>
      </c>
    </row>
    <row r="18">
      <c r="A18" s="5" t="n">
        <v>14</v>
      </c>
      <c r="B18" s="5" t="inlineStr"/>
      <c r="C18" s="6" t="inlineStr">
        <is>
          <t>Remove Pipe End Section</t>
        </is>
      </c>
      <c r="D18" s="5" t="inlineStr">
        <is>
          <t>EA</t>
        </is>
      </c>
      <c r="E18" s="7" t="n">
        <v>1</v>
      </c>
      <c r="F18" s="8" t="inlineStr"/>
      <c r="G18" s="8" t="inlineStr"/>
      <c r="H18" s="9" t="n">
        <v>99</v>
      </c>
      <c r="I18" s="10" t="inlineStr">
        <is>
          <t>Verified</t>
        </is>
      </c>
      <c r="J18" s="8" t="inlineStr">
        <is>
          <t>Table of Remove Pipe End Section</t>
        </is>
      </c>
      <c r="K18" s="8" t="inlineStr">
        <is>
          <t>Extracted table total.</t>
        </is>
      </c>
    </row>
    <row r="19">
      <c r="A19" s="5" t="n">
        <v>15</v>
      </c>
      <c r="B19" s="5" t="inlineStr"/>
      <c r="C19" s="6" t="inlineStr">
        <is>
          <t>Asphalt Pavement Removal (Deduct) (CuYd)</t>
        </is>
      </c>
      <c r="D19" s="5" t="inlineStr">
        <is>
          <t>CY</t>
        </is>
      </c>
      <c r="E19" s="7" t="n">
        <v>-689</v>
      </c>
      <c r="F19" s="8" t="inlineStr"/>
      <c r="G19" s="8" t="inlineStr"/>
      <c r="H19" s="9" t="n">
        <v>99</v>
      </c>
      <c r="I19" s="10" t="inlineStr">
        <is>
          <t>Verified</t>
        </is>
      </c>
      <c r="J19" s="8" t="inlineStr">
        <is>
          <t>Table of Earthwork Quantities - Base Bid + Alternate B</t>
        </is>
      </c>
      <c r="K19" s="8" t="inlineStr">
        <is>
          <t>Extracted deduct quantity from EOQ table.</t>
        </is>
      </c>
    </row>
    <row r="20">
      <c r="A20" s="5" t="n">
        <v>16</v>
      </c>
      <c r="B20" s="5" t="inlineStr"/>
      <c r="C20" s="6" t="inlineStr">
        <is>
          <t>Remove Water Main</t>
        </is>
      </c>
      <c r="D20" s="5" t="inlineStr">
        <is>
          <t>LF</t>
        </is>
      </c>
      <c r="E20" s="7" t="n">
        <v>20</v>
      </c>
      <c r="F20" s="8" t="inlineStr"/>
      <c r="G20" s="8" t="inlineStr"/>
      <c r="H20" s="9" t="n">
        <v>95</v>
      </c>
      <c r="I20" s="11" t="inlineStr">
        <is>
          <t>Engineer Review</t>
        </is>
      </c>
      <c r="J20" s="8" t="inlineStr">
        <is>
          <t>Sheet H1 STA 70+00-75+00 removal quantity callout box.</t>
        </is>
      </c>
      <c r="K20" s="8" t="inlineStr">
        <is>
          <t>Extracted from printed removal quantity callout.</t>
        </is>
      </c>
    </row>
    <row r="21">
      <c r="A21" s="5" t="n">
        <v>17</v>
      </c>
      <c r="B21" s="5" t="inlineStr"/>
      <c r="C21" s="6" t="inlineStr">
        <is>
          <t>Remove and Reset Mailbox and Post</t>
        </is>
      </c>
      <c r="D21" s="5" t="inlineStr">
        <is>
          <t>EA</t>
        </is>
      </c>
      <c r="E21" s="7" t="n">
        <v>17</v>
      </c>
      <c r="F21" s="8" t="inlineStr"/>
      <c r="G21" s="8" t="inlineStr"/>
      <c r="H21" s="9" t="n">
        <v>95</v>
      </c>
      <c r="I21" s="11" t="inlineStr">
        <is>
          <t>Engineer Review</t>
        </is>
      </c>
      <c r="J21" s="8" t="inlineStr">
        <is>
          <t>Sheet H3 STA 85+00-90+00 = 1 EA and STA 90+00-95+00 = 6 EA; Sheet H4 STA 95+00-100+00 = 8 EA and STA 100+00-105+29.15 = 2 EA.</t>
        </is>
      </c>
      <c r="K21" s="8" t="inlineStr">
        <is>
          <t>1 + 6 + 8 + 2 = 17 Each.</t>
        </is>
      </c>
    </row>
    <row r="22">
      <c r="A22" s="5" t="n">
        <v>18</v>
      </c>
      <c r="B22" s="5" t="inlineStr"/>
      <c r="C22" s="6" t="inlineStr">
        <is>
          <t>Remove and Salvage Existing Fire Hydrant</t>
        </is>
      </c>
      <c r="D22" s="5" t="inlineStr">
        <is>
          <t>EA</t>
        </is>
      </c>
      <c r="E22" s="7" t="n">
        <v>1</v>
      </c>
      <c r="F22" s="8" t="inlineStr"/>
      <c r="G22" s="8" t="inlineStr"/>
      <c r="H22" s="9" t="n">
        <v>95</v>
      </c>
      <c r="I22" s="11" t="inlineStr">
        <is>
          <t>Engineer Review</t>
        </is>
      </c>
      <c r="J22" s="8" t="inlineStr">
        <is>
          <t>Sheet H1 STA 70+00-75+00 removal quantity callout box.</t>
        </is>
      </c>
      <c r="K22" s="8" t="inlineStr">
        <is>
          <t>Extracted from printed removal quantity callout.</t>
        </is>
      </c>
    </row>
    <row r="23">
      <c r="A23" s="5" t="n">
        <v>19</v>
      </c>
      <c r="B23" s="5" t="inlineStr"/>
      <c r="C23" s="6" t="inlineStr">
        <is>
          <t>Remove and Salvage 6 in. Gate Valve and Box</t>
        </is>
      </c>
      <c r="D23" s="5" t="inlineStr">
        <is>
          <t>EA</t>
        </is>
      </c>
      <c r="E23" s="7" t="n">
        <v>1</v>
      </c>
      <c r="F23" s="8" t="inlineStr"/>
      <c r="G23" s="8" t="inlineStr"/>
      <c r="H23" s="9" t="n">
        <v>95</v>
      </c>
      <c r="I23" s="11" t="inlineStr">
        <is>
          <t>Engineer Review</t>
        </is>
      </c>
      <c r="J23" s="8" t="inlineStr">
        <is>
          <t>Sheet I10, STA 73+98.58-75.50 RT to STA 74+17.08-75.50 RT callout</t>
        </is>
      </c>
      <c r="K23" s="8" t="inlineStr">
        <is>
          <t>Printed quantity: 1 each remove and salvage gate valve/box (6 in.).</t>
        </is>
      </c>
    </row>
    <row r="24">
      <c r="A24" s="3" t="inlineStr">
        <is>
          <t>Clearing &amp; Grubbing</t>
        </is>
      </c>
      <c r="B24" s="4" t="n"/>
      <c r="C24" s="4" t="n"/>
      <c r="D24" s="4" t="n"/>
      <c r="E24" s="4" t="n"/>
      <c r="F24" s="4" t="n"/>
      <c r="G24" s="4" t="n"/>
      <c r="H24" s="4" t="n"/>
      <c r="I24" s="4" t="n"/>
      <c r="J24" s="4" t="n"/>
      <c r="K24" s="4" t="n"/>
    </row>
    <row r="25">
      <c r="A25" s="5" t="n">
        <v>20</v>
      </c>
      <c r="B25" s="5" t="inlineStr"/>
      <c r="C25" s="6" t="inlineStr">
        <is>
          <t>Clear and Grub Tree</t>
        </is>
      </c>
      <c r="D25" s="5" t="inlineStr">
        <is>
          <t>EA</t>
        </is>
      </c>
      <c r="E25" s="7" t="n">
        <v>65</v>
      </c>
      <c r="F25" s="8" t="inlineStr"/>
      <c r="G25" s="8" t="inlineStr"/>
      <c r="H25" s="9" t="n">
        <v>95</v>
      </c>
      <c r="I25" s="11" t="inlineStr">
        <is>
          <t>Engineer Review</t>
        </is>
      </c>
      <c r="J25" s="8" t="inlineStr">
        <is>
          <t>Sheet H1 STA 70+00-75+00 = 23 EA; Sheet H2 STA 74+75-80+00 = 1 EA; Sheet H3 STA 85+00-90+00 = 3 EA and STA 90+00-95+00 = 1 EA; Sheet H4 STA 95+00-100+00 = 15 EA and STA 100+00-105+29.15 = 12 EA; Sheet H5 quantities-this-view box = 10 EA.</t>
        </is>
      </c>
      <c r="K25" s="8" t="inlineStr">
        <is>
          <t>23 + 1 + 3 + 1 + 15 + 12 + 10 = 65 Each.</t>
        </is>
      </c>
    </row>
    <row r="26">
      <c r="A26" s="3" t="inlineStr">
        <is>
          <t>Grading</t>
        </is>
      </c>
      <c r="B26" s="4" t="n"/>
      <c r="C26" s="4" t="n"/>
      <c r="D26" s="4" t="n"/>
      <c r="E26" s="4" t="n"/>
      <c r="F26" s="4" t="n"/>
      <c r="G26" s="4" t="n"/>
      <c r="H26" s="4" t="n"/>
      <c r="I26" s="4" t="n"/>
      <c r="J26" s="4" t="n"/>
      <c r="K26" s="4" t="n"/>
    </row>
    <row r="27">
      <c r="A27" s="5" t="n">
        <v>21</v>
      </c>
      <c r="B27" s="5" t="inlineStr"/>
      <c r="C27" s="6" t="inlineStr">
        <is>
          <t>Aggregate Base Course - Alternate B: Cement Stabilized Subgrade</t>
        </is>
      </c>
      <c r="D27" s="5" t="inlineStr">
        <is>
          <t>T</t>
        </is>
      </c>
      <c r="E27" s="7" t="n">
        <v>16915</v>
      </c>
      <c r="F27" s="8" t="inlineStr"/>
      <c r="G27" s="8" t="inlineStr"/>
      <c r="H27" s="9" t="n">
        <v>99</v>
      </c>
      <c r="I27" s="10" t="inlineStr">
        <is>
          <t>Verified</t>
        </is>
      </c>
      <c r="J27" s="8" t="inlineStr">
        <is>
          <t>Table of Aggregate Base Course (Ton), Alternate B - Cement Stabilized Subgrade</t>
        </is>
      </c>
      <c r="K27" s="8" t="inlineStr">
        <is>
          <t>Extracted Total Aggregate Base Course total; includes Streets 12,112 ton, Unclassified Excavation Digouts 3,003 ton, and Temporary Gravel Access 1,800 ton.</t>
        </is>
      </c>
    </row>
    <row r="28">
      <c r="A28" s="5" t="n">
        <v>22</v>
      </c>
      <c r="B28" s="5" t="inlineStr"/>
      <c r="C28" s="6" t="inlineStr">
        <is>
          <t>Salvage Topsoil (CuYd)</t>
        </is>
      </c>
      <c r="D28" s="5" t="inlineStr">
        <is>
          <t>CY</t>
        </is>
      </c>
      <c r="E28" s="7" t="n">
        <v>9480</v>
      </c>
      <c r="F28" s="8" t="inlineStr"/>
      <c r="G28" s="8" t="inlineStr"/>
      <c r="H28" s="9" t="n">
        <v>99</v>
      </c>
      <c r="I28" s="10" t="inlineStr">
        <is>
          <t>Verified</t>
        </is>
      </c>
      <c r="J28" s="8" t="inlineStr">
        <is>
          <t>Table of Earthwork Quantities - Base Bid + Alternate A</t>
        </is>
      </c>
      <c r="K28" s="8" t="inlineStr">
        <is>
          <t>Extracted from EOQ table.</t>
        </is>
      </c>
    </row>
    <row r="29">
      <c r="A29" s="5" t="n">
        <v>23</v>
      </c>
      <c r="B29" s="5" t="inlineStr"/>
      <c r="C29" s="6" t="inlineStr">
        <is>
          <t>Excavation (Roadway) (CuYd)</t>
        </is>
      </c>
      <c r="D29" s="5" t="inlineStr">
        <is>
          <t>CY</t>
        </is>
      </c>
      <c r="E29" s="7" t="n">
        <v>35810</v>
      </c>
      <c r="F29" s="8" t="inlineStr"/>
      <c r="G29" s="8" t="inlineStr"/>
      <c r="H29" s="9" t="n">
        <v>99</v>
      </c>
      <c r="I29" s="10" t="inlineStr">
        <is>
          <t>Verified</t>
        </is>
      </c>
      <c r="J29" s="8" t="inlineStr">
        <is>
          <t>Table of Earthwork Quantities - Base Bid + Alternate A</t>
        </is>
      </c>
      <c r="K29" s="8" t="inlineStr">
        <is>
          <t>Extracted from EOQ table.</t>
        </is>
      </c>
    </row>
    <row r="30">
      <c r="A30" s="5" t="n">
        <v>24</v>
      </c>
      <c r="B30" s="5" t="inlineStr"/>
      <c r="C30" s="6" t="inlineStr">
        <is>
          <t>Excavation (Detention Pond) (CuYd)</t>
        </is>
      </c>
      <c r="D30" s="5" t="inlineStr">
        <is>
          <t>CY</t>
        </is>
      </c>
      <c r="E30" s="7" t="n">
        <v>8510</v>
      </c>
      <c r="F30" s="8" t="inlineStr"/>
      <c r="G30" s="8" t="inlineStr"/>
      <c r="H30" s="9" t="n">
        <v>99</v>
      </c>
      <c r="I30" s="10" t="inlineStr">
        <is>
          <t>Verified</t>
        </is>
      </c>
      <c r="J30" s="8" t="inlineStr">
        <is>
          <t>Table of Earthwork Quantities - Base Bid + Alternate A</t>
        </is>
      </c>
      <c r="K30" s="8" t="inlineStr">
        <is>
          <t>Extracted from EOQ table.</t>
        </is>
      </c>
    </row>
    <row r="31">
      <c r="A31" s="5" t="n">
        <v>25</v>
      </c>
      <c r="B31" s="5" t="inlineStr"/>
      <c r="C31" s="6" t="inlineStr">
        <is>
          <t>Unstable Material Excavation (CuYd)</t>
        </is>
      </c>
      <c r="D31" s="5" t="inlineStr">
        <is>
          <t>CY</t>
        </is>
      </c>
      <c r="E31" s="7" t="n">
        <v>6057</v>
      </c>
      <c r="F31" s="8" t="inlineStr"/>
      <c r="G31" s="8" t="inlineStr"/>
      <c r="H31" s="9" t="n">
        <v>99</v>
      </c>
      <c r="I31" s="10" t="inlineStr">
        <is>
          <t>Verified</t>
        </is>
      </c>
      <c r="J31" s="8" t="inlineStr">
        <is>
          <t>Table of Earthwork Quantities - Base Bid + Alternate A</t>
        </is>
      </c>
      <c r="K31" s="8" t="inlineStr">
        <is>
          <t>Extracted from EOQ table.</t>
        </is>
      </c>
    </row>
    <row r="32">
      <c r="A32" s="5" t="n">
        <v>26</v>
      </c>
      <c r="B32" s="5" t="inlineStr"/>
      <c r="C32" s="6" t="inlineStr">
        <is>
          <t>Unclassified Excavation - Digouts (CuYd)</t>
        </is>
      </c>
      <c r="D32" s="5" t="inlineStr">
        <is>
          <t>CY</t>
        </is>
      </c>
      <c r="E32" s="7" t="n">
        <v>1500</v>
      </c>
      <c r="F32" s="8" t="inlineStr"/>
      <c r="G32" s="8" t="inlineStr"/>
      <c r="H32" s="9" t="n">
        <v>99</v>
      </c>
      <c r="I32" s="10" t="inlineStr">
        <is>
          <t>Verified</t>
        </is>
      </c>
      <c r="J32" s="8" t="inlineStr">
        <is>
          <t>Table of Earthwork Quantities - Base Bid + Alternate A</t>
        </is>
      </c>
      <c r="K32" s="8" t="inlineStr">
        <is>
          <t>Extracted from EOQ table. D5 notes state this is an estimated quantity for isolated locations of subgrade.</t>
        </is>
      </c>
    </row>
    <row r="33">
      <c r="A33" s="5" t="n">
        <v>27</v>
      </c>
      <c r="B33" s="5" t="inlineStr"/>
      <c r="C33" s="6" t="inlineStr">
        <is>
          <t>Unclassified Excavation - Grade Stabilization (CuYd)</t>
        </is>
      </c>
      <c r="D33" s="5" t="inlineStr">
        <is>
          <t>CY</t>
        </is>
      </c>
      <c r="E33" s="7" t="n">
        <v>1500</v>
      </c>
      <c r="F33" s="8" t="inlineStr"/>
      <c r="G33" s="8" t="inlineStr"/>
      <c r="H33" s="9" t="n">
        <v>99</v>
      </c>
      <c r="I33" s="10" t="inlineStr">
        <is>
          <t>Verified</t>
        </is>
      </c>
      <c r="J33" s="8" t="inlineStr">
        <is>
          <t>Table of Earthwork Quantities - Base Bid + Alternate A</t>
        </is>
      </c>
      <c r="K33" s="8" t="inlineStr">
        <is>
          <t>Extracted from EOQ table. D5 notes this item applies only if Alternate A is selected.</t>
        </is>
      </c>
    </row>
    <row r="34">
      <c r="A34" s="5" t="n">
        <v>28</v>
      </c>
      <c r="B34" s="5" t="inlineStr"/>
      <c r="C34" s="6" t="inlineStr">
        <is>
          <t>Total Excavation</t>
        </is>
      </c>
      <c r="D34" s="5" t="inlineStr">
        <is>
          <t>CY</t>
        </is>
      </c>
      <c r="E34" s="7" t="n">
        <v>62857</v>
      </c>
      <c r="F34" s="8" t="inlineStr"/>
      <c r="G34" s="8" t="inlineStr"/>
      <c r="H34" s="9" t="n">
        <v>99</v>
      </c>
      <c r="I34" s="10" t="inlineStr">
        <is>
          <t>Verified</t>
        </is>
      </c>
      <c r="J34" s="8" t="inlineStr">
        <is>
          <t>Table of Earthwork Quantities - Base Bid + Alternate A</t>
        </is>
      </c>
      <c r="K34" s="8" t="inlineStr">
        <is>
          <t>Extracted total from EOQ table.</t>
        </is>
      </c>
    </row>
    <row r="35">
      <c r="A35" s="5" t="n">
        <v>29</v>
      </c>
      <c r="B35" s="5" t="inlineStr"/>
      <c r="C35" s="6" t="inlineStr">
        <is>
          <t>Embankment (Roadway) (CuYd)</t>
        </is>
      </c>
      <c r="D35" s="5" t="inlineStr">
        <is>
          <t>CY</t>
        </is>
      </c>
      <c r="E35" s="7" t="n">
        <v>2540</v>
      </c>
      <c r="F35" s="8" t="inlineStr"/>
      <c r="G35" s="8" t="inlineStr"/>
      <c r="H35" s="9" t="n">
        <v>99</v>
      </c>
      <c r="I35" s="10" t="inlineStr">
        <is>
          <t>Verified</t>
        </is>
      </c>
      <c r="J35" s="8" t="inlineStr">
        <is>
          <t>Table of Earthwork Quantities - Base Bid + Alternate B</t>
        </is>
      </c>
      <c r="K35" s="8" t="inlineStr">
        <is>
          <t>Extracted from EOQ table.</t>
        </is>
      </c>
    </row>
    <row r="36">
      <c r="A36" s="5" t="n">
        <v>30</v>
      </c>
      <c r="B36" s="5" t="inlineStr"/>
      <c r="C36" s="6" t="inlineStr">
        <is>
          <t>Roadway Embankment Shrinkage (+30%) (CuYd)</t>
        </is>
      </c>
      <c r="D36" s="5" t="inlineStr">
        <is>
          <t>CY</t>
        </is>
      </c>
      <c r="E36" s="7" t="n">
        <v>762</v>
      </c>
      <c r="F36" s="8" t="inlineStr"/>
      <c r="G36" s="8" t="inlineStr"/>
      <c r="H36" s="9" t="n">
        <v>99</v>
      </c>
      <c r="I36" s="10" t="inlineStr">
        <is>
          <t>Verified</t>
        </is>
      </c>
      <c r="J36" s="8" t="inlineStr">
        <is>
          <t>Table of Earthwork Quantities - Base Bid + Alternate B</t>
        </is>
      </c>
      <c r="K36" s="8" t="inlineStr">
        <is>
          <t>Extracted from EOQ table.</t>
        </is>
      </c>
    </row>
    <row r="37">
      <c r="A37" s="5" t="n">
        <v>31</v>
      </c>
      <c r="B37" s="5" t="inlineStr"/>
      <c r="C37" s="6" t="inlineStr">
        <is>
          <t>Embankment (Pond) (CuYd)</t>
        </is>
      </c>
      <c r="D37" s="5" t="inlineStr">
        <is>
          <t>CY</t>
        </is>
      </c>
      <c r="E37" s="7" t="n">
        <v>3790</v>
      </c>
      <c r="F37" s="8" t="inlineStr"/>
      <c r="G37" s="8" t="inlineStr"/>
      <c r="H37" s="9" t="n">
        <v>99</v>
      </c>
      <c r="I37" s="10" t="inlineStr">
        <is>
          <t>Verified</t>
        </is>
      </c>
      <c r="J37" s="8" t="inlineStr">
        <is>
          <t>Table of Earthwork Quantities - Base Bid + Alternate A</t>
        </is>
      </c>
      <c r="K37" s="8" t="inlineStr">
        <is>
          <t>Extracted from EOQ table.</t>
        </is>
      </c>
    </row>
    <row r="38">
      <c r="A38" s="5" t="n">
        <v>32</v>
      </c>
      <c r="B38" s="5" t="inlineStr"/>
      <c r="C38" s="6" t="inlineStr">
        <is>
          <t>Pond Embankment Shrinkage (+30%) (CuYd)</t>
        </is>
      </c>
      <c r="D38" s="5" t="inlineStr">
        <is>
          <t>CY</t>
        </is>
      </c>
      <c r="E38" s="7" t="n">
        <v>1137</v>
      </c>
      <c r="F38" s="8" t="inlineStr"/>
      <c r="G38" s="8" t="inlineStr"/>
      <c r="H38" s="9" t="n">
        <v>99</v>
      </c>
      <c r="I38" s="10" t="inlineStr">
        <is>
          <t>Verified</t>
        </is>
      </c>
      <c r="J38" s="8" t="inlineStr">
        <is>
          <t>Table of Earthwork Quantities - Base Bid + Alternate A</t>
        </is>
      </c>
      <c r="K38" s="8" t="inlineStr">
        <is>
          <t>Extracted from EOQ table.</t>
        </is>
      </c>
    </row>
    <row r="39">
      <c r="A39" s="5" t="n">
        <v>33</v>
      </c>
      <c r="B39" s="5" t="inlineStr"/>
      <c r="C39" s="6" t="inlineStr">
        <is>
          <t>Stockpiling Topsoil (CuYd)</t>
        </is>
      </c>
      <c r="D39" s="5" t="inlineStr">
        <is>
          <t>CY</t>
        </is>
      </c>
      <c r="E39" s="7" t="n">
        <v>5091</v>
      </c>
      <c r="F39" s="8" t="inlineStr"/>
      <c r="G39" s="8" t="inlineStr"/>
      <c r="H39" s="9" t="n">
        <v>99</v>
      </c>
      <c r="I39" s="10" t="inlineStr">
        <is>
          <t>Verified</t>
        </is>
      </c>
      <c r="J39" s="8" t="inlineStr">
        <is>
          <t>Table of Earthwork Quantities - Base Bid + Alternate A</t>
        </is>
      </c>
      <c r="K39" s="8" t="inlineStr">
        <is>
          <t>Extracted from EOQ table.</t>
        </is>
      </c>
    </row>
    <row r="40">
      <c r="A40" s="5" t="n">
        <v>34</v>
      </c>
      <c r="B40" s="5" t="inlineStr"/>
      <c r="C40" s="6" t="inlineStr">
        <is>
          <t>Placing Topsoil (CuYd)</t>
        </is>
      </c>
      <c r="D40" s="5" t="inlineStr">
        <is>
          <t>CY</t>
        </is>
      </c>
      <c r="E40" s="7" t="n">
        <v>3376</v>
      </c>
      <c r="F40" s="8" t="inlineStr"/>
      <c r="G40" s="8" t="inlineStr"/>
      <c r="H40" s="9" t="n">
        <v>99</v>
      </c>
      <c r="I40" s="10" t="inlineStr">
        <is>
          <t>Verified</t>
        </is>
      </c>
      <c r="J40" s="8" t="inlineStr">
        <is>
          <t>Table of Earthwork Quantities - Base Bid + Alternate A</t>
        </is>
      </c>
      <c r="K40" s="8" t="inlineStr">
        <is>
          <t>Extracted from EOQ table.</t>
        </is>
      </c>
    </row>
    <row r="41">
      <c r="A41" s="5" t="n">
        <v>35</v>
      </c>
      <c r="B41" s="5" t="inlineStr"/>
      <c r="C41" s="6" t="inlineStr">
        <is>
          <t>Topsoil Shrinkage (+30%) (CuYd)</t>
        </is>
      </c>
      <c r="D41" s="5" t="inlineStr">
        <is>
          <t>CY</t>
        </is>
      </c>
      <c r="E41" s="7" t="n">
        <v>1013</v>
      </c>
      <c r="F41" s="8" t="inlineStr"/>
      <c r="G41" s="8" t="inlineStr"/>
      <c r="H41" s="9" t="n">
        <v>99</v>
      </c>
      <c r="I41" s="10" t="inlineStr">
        <is>
          <t>Verified</t>
        </is>
      </c>
      <c r="J41" s="8" t="inlineStr">
        <is>
          <t>Table of Earthwork Quantities - Base Bid + Alternate A</t>
        </is>
      </c>
      <c r="K41" s="8" t="inlineStr">
        <is>
          <t>Extracted from EOQ table.</t>
        </is>
      </c>
    </row>
    <row r="42">
      <c r="A42" s="5" t="n">
        <v>36</v>
      </c>
      <c r="B42" s="5" t="inlineStr"/>
      <c r="C42" s="6" t="inlineStr">
        <is>
          <t>Waste (CuYd)</t>
        </is>
      </c>
      <c r="D42" s="5" t="inlineStr">
        <is>
          <t>CY</t>
        </is>
      </c>
      <c r="E42" s="7" t="n">
        <v>45733</v>
      </c>
      <c r="F42" s="8" t="inlineStr"/>
      <c r="G42" s="8" t="inlineStr"/>
      <c r="H42" s="9" t="n">
        <v>99</v>
      </c>
      <c r="I42" s="10" t="inlineStr">
        <is>
          <t>Verified</t>
        </is>
      </c>
      <c r="J42" s="8" t="inlineStr">
        <is>
          <t>Table of Earthwork Quantities - Base Bid + Alternate A</t>
        </is>
      </c>
      <c r="K42" s="8" t="inlineStr">
        <is>
          <t>Extracted from EOQ table.</t>
        </is>
      </c>
    </row>
    <row r="43">
      <c r="A43" s="5" t="n">
        <v>37</v>
      </c>
      <c r="B43" s="5" t="inlineStr"/>
      <c r="C43" s="6" t="inlineStr">
        <is>
          <t>Total Embankment</t>
        </is>
      </c>
      <c r="D43" s="5" t="inlineStr">
        <is>
          <t>CY</t>
        </is>
      </c>
      <c r="E43" s="7" t="n">
        <v>62857</v>
      </c>
      <c r="F43" s="8" t="inlineStr"/>
      <c r="G43" s="8" t="inlineStr"/>
      <c r="H43" s="9" t="n">
        <v>99</v>
      </c>
      <c r="I43" s="10" t="inlineStr">
        <is>
          <t>Verified</t>
        </is>
      </c>
      <c r="J43" s="8" t="inlineStr">
        <is>
          <t>Table of Earthwork Quantities - Base Bid + Alternate A</t>
        </is>
      </c>
      <c r="K43" s="8" t="inlineStr">
        <is>
          <t>Extracted total from EOQ table.</t>
        </is>
      </c>
    </row>
    <row r="44">
      <c r="A44" s="5" t="n">
        <v>38</v>
      </c>
      <c r="B44" s="5" t="inlineStr"/>
      <c r="C44" s="6" t="inlineStr">
        <is>
          <t>Total Unclassified Excavation</t>
        </is>
      </c>
      <c r="D44" s="5" t="inlineStr">
        <is>
          <t>CY</t>
        </is>
      </c>
      <c r="E44" s="7" t="n">
        <v>49688</v>
      </c>
      <c r="F44" s="8" t="inlineStr"/>
      <c r="G44" s="8" t="inlineStr"/>
      <c r="H44" s="9" t="n">
        <v>99</v>
      </c>
      <c r="I44" s="10" t="inlineStr">
        <is>
          <t>Verified</t>
        </is>
      </c>
      <c r="J44" s="8" t="inlineStr">
        <is>
          <t>Table of Earthwork Quantities - Base Bid + Alternate A</t>
        </is>
      </c>
      <c r="K44" s="8" t="inlineStr">
        <is>
          <t>Extracted total from EOQ table.</t>
        </is>
      </c>
    </row>
    <row r="45">
      <c r="A45" s="5" t="n">
        <v>39</v>
      </c>
      <c r="B45" s="5" t="inlineStr"/>
      <c r="C45" s="6" t="inlineStr">
        <is>
          <t>12 in Cement Stabilized Subgrade</t>
        </is>
      </c>
      <c r="D45" s="5" t="inlineStr">
        <is>
          <t>SY</t>
        </is>
      </c>
      <c r="E45" s="7" t="n">
        <v>845.8</v>
      </c>
      <c r="F45" s="8" t="inlineStr"/>
      <c r="G45" s="8" t="inlineStr"/>
      <c r="H45" s="9" t="n">
        <v>93</v>
      </c>
      <c r="I45" s="11" t="inlineStr">
        <is>
          <t>Engineer Review</t>
        </is>
      </c>
      <c r="J45" s="8" t="inlineStr">
        <is>
          <t>C9 Typical Section - Tallgrass Avenue, STA. 99+23 to 100+96; Alternate B detail identifies 12 in cement stabilized subgrade.</t>
        </is>
      </c>
      <c r="K45" s="8" t="inlineStr">
        <is>
          <t>44 ft pavement width x 173 ft station length / 9 = 845.8 SqYd of stabilized subgrade plan area.</t>
        </is>
      </c>
    </row>
    <row r="46">
      <c r="A46" s="5" t="n">
        <v>40</v>
      </c>
      <c r="B46" s="5" t="inlineStr"/>
      <c r="C46" s="6" t="inlineStr">
        <is>
          <t>Scarify and Recompact Subgrade, 8 in</t>
        </is>
      </c>
      <c r="D46" s="5" t="inlineStr">
        <is>
          <t>SY</t>
        </is>
      </c>
      <c r="E46" s="7" t="n">
        <v>379.1</v>
      </c>
      <c r="F46" s="8" t="inlineStr"/>
      <c r="G46" s="8" t="inlineStr"/>
      <c r="H46" s="9" t="n">
        <v>93</v>
      </c>
      <c r="I46" s="11" t="inlineStr">
        <is>
          <t>Engineer Review</t>
        </is>
      </c>
      <c r="J46" s="8" t="inlineStr">
        <is>
          <t>C10 Typical Section - 89th Street, STA. 13+25.22 to 14+20.00; 8 in scarify and recompact subgrade.</t>
        </is>
      </c>
      <c r="K46" s="8" t="inlineStr">
        <is>
          <t>36 ft pavement width x 94.78 ft station length / 9 = 379.1 SqYd.</t>
        </is>
      </c>
    </row>
    <row r="47">
      <c r="A47" s="5" t="n">
        <v>41</v>
      </c>
      <c r="B47" s="5" t="inlineStr"/>
      <c r="C47" s="6" t="inlineStr">
        <is>
          <t>Site Excavation</t>
        </is>
      </c>
      <c r="D47" s="5" t="inlineStr">
        <is>
          <t>CY</t>
        </is>
      </c>
      <c r="E47" s="7" t="n">
        <v>49688</v>
      </c>
      <c r="F47" s="8" t="inlineStr"/>
      <c r="G47" s="8" t="inlineStr"/>
      <c r="H47" s="9" t="n">
        <v>95</v>
      </c>
      <c r="I47" s="11" t="inlineStr">
        <is>
          <t>Engineer Review</t>
        </is>
      </c>
      <c r="J47" s="8" t="inlineStr">
        <is>
          <t>Sheet G1, Area and Volume Disturbed: "It is estimated that 49,688 CY of soil will be excavated from the site."</t>
        </is>
      </c>
      <c r="K47" s="8" t="inlineStr">
        <is>
          <t>Extracted stated project excavation quantity from the SWPPP narrative.</t>
        </is>
      </c>
    </row>
    <row r="48">
      <c r="A48" s="5" t="n">
        <v>42</v>
      </c>
      <c r="B48" s="5" t="inlineStr"/>
      <c r="C48" s="6" t="inlineStr">
        <is>
          <t>Soil Stabilizer for Stockpiles and Interim Grading Areas</t>
        </is>
      </c>
      <c r="D48" s="5" t="inlineStr">
        <is>
          <t>ACRE</t>
        </is>
      </c>
      <c r="E48" s="7" t="n">
        <v>0.5</v>
      </c>
      <c r="F48" s="8" t="inlineStr"/>
      <c r="G48" s="8" t="inlineStr"/>
      <c r="H48" s="9" t="n">
        <v>93</v>
      </c>
      <c r="I48" s="11" t="inlineStr">
        <is>
          <t>Engineer Review</t>
        </is>
      </c>
      <c r="J48" s="8" t="inlineStr">
        <is>
          <t>G5 Mulch for Stockpiles and Interim Grading Areas note</t>
        </is>
      </c>
      <c r="K48" s="8" t="inlineStr">
        <is>
          <t>Note states: "A quantity of 0.5 Acre of soil stabilizer has been included in the estimate of quantities" for anticipated stockpiles and interim grading areas. Potential overlap with the G4 project Soil Stabilizer estimate requires review.</t>
        </is>
      </c>
    </row>
    <row r="49">
      <c r="A49" s="5" t="n">
        <v>43</v>
      </c>
      <c r="B49" s="5" t="inlineStr"/>
      <c r="C49" s="6" t="inlineStr">
        <is>
          <t>Water Main Trench Excavation for 18 in. PVC Main</t>
        </is>
      </c>
      <c r="D49" s="5" t="inlineStr">
        <is>
          <t>CY</t>
        </is>
      </c>
      <c r="E49" s="7" t="n">
        <v>41.26</v>
      </c>
      <c r="F49" s="8" t="inlineStr"/>
      <c r="G49" s="8" t="inlineStr"/>
      <c r="H49" s="9" t="n">
        <v>93</v>
      </c>
      <c r="I49" s="11" t="inlineStr">
        <is>
          <t>Engineer Review</t>
        </is>
      </c>
      <c r="J49" s="8" t="inlineStr">
        <is>
          <t>Sheet I10, 58 LF C900 DR 18 PVC water main callouts</t>
        </is>
      </c>
      <c r="K49" s="8" t="inlineStr">
        <is>
          <t>58 LF x assumed trench width 3.5 ft [18 in. nominal OD + 2 ft] x assumed excavation depth 5.5 ft [4 ft cover + 1.5 ft pipe] / 27 = 41.26 CY.</t>
        </is>
      </c>
    </row>
    <row r="50">
      <c r="A50" s="5" t="n">
        <v>44</v>
      </c>
      <c r="B50" s="5" t="inlineStr"/>
      <c r="C50" s="6" t="inlineStr">
        <is>
          <t>Water Main Trench Excavation for 12 in. PVC Main</t>
        </is>
      </c>
      <c r="D50" s="5" t="inlineStr">
        <is>
          <t>CY</t>
        </is>
      </c>
      <c r="E50" s="7" t="n">
        <v>23.89</v>
      </c>
      <c r="F50" s="8" t="inlineStr"/>
      <c r="G50" s="8" t="inlineStr"/>
      <c r="H50" s="9" t="n">
        <v>93</v>
      </c>
      <c r="I50" s="11" t="inlineStr">
        <is>
          <t>Engineer Review</t>
        </is>
      </c>
      <c r="J50" s="8" t="inlineStr">
        <is>
          <t>Sheet I10, 43 LF 12 in. restrained joint PVC pipe callout</t>
        </is>
      </c>
      <c r="K50" s="8" t="inlineStr">
        <is>
          <t>43 LF x assumed trench width 3.0 ft [12 in. nominal OD + 2 ft] x assumed excavation depth 5.0 ft [4 ft cover + 1 ft pipe] / 27 = 23.89 CY.</t>
        </is>
      </c>
    </row>
    <row r="51">
      <c r="A51" s="5" t="n">
        <v>45</v>
      </c>
      <c r="B51" s="5" t="inlineStr"/>
      <c r="C51" s="6" t="inlineStr">
        <is>
          <t>Water Main Trench Excavation for 6 in. PVC Pipe</t>
        </is>
      </c>
      <c r="D51" s="5" t="inlineStr">
        <is>
          <t>CY</t>
        </is>
      </c>
      <c r="E51" s="7" t="n">
        <v>12.08</v>
      </c>
      <c r="F51" s="8" t="inlineStr"/>
      <c r="G51" s="8" t="inlineStr"/>
      <c r="H51" s="9" t="n">
        <v>93</v>
      </c>
      <c r="I51" s="11" t="inlineStr">
        <is>
          <t>Engineer Review</t>
        </is>
      </c>
      <c r="J51" s="8" t="inlineStr">
        <is>
          <t>Sheet I10, 9 LF restrained joint PVC and 20 LF carrier-pipe callouts</t>
        </is>
      </c>
      <c r="K51" s="8" t="inlineStr">
        <is>
          <t>29 LF x assumed minimum trench width 2.5 ft x assumed excavation depth 4.5 ft [4 ft cover + 0.5 ft pipe] / 27 = 12.08 CY.</t>
        </is>
      </c>
    </row>
    <row r="52">
      <c r="A52" s="5" t="n">
        <v>46</v>
      </c>
      <c r="B52" s="5" t="inlineStr"/>
      <c r="C52" s="6" t="inlineStr">
        <is>
          <t>Water Main Trench Excavation</t>
        </is>
      </c>
      <c r="D52" s="5" t="inlineStr">
        <is>
          <t>CY</t>
        </is>
      </c>
      <c r="E52" s="7" t="n">
        <v>2026</v>
      </c>
      <c r="F52" s="8" t="inlineStr"/>
      <c r="G52" s="8" t="inlineStr"/>
      <c r="H52" s="9" t="n">
        <v>93</v>
      </c>
      <c r="I52" s="11" t="inlineStr">
        <is>
          <t>Engineer Review</t>
        </is>
      </c>
      <c r="J52" s="8" t="inlineStr">
        <is>
          <t>Water-main pipe quantities derived from sheets 81-86</t>
        </is>
      </c>
      <c r="K52" s="8" t="inlineStr">
        <is>
          <t>Estimator takeoff. Assumed 4 Ft cover, excavation depth = 4 Ft cover + pipe OD, and trench width = OD + 2 Ft, minimum 2.5 Ft. Calculated by size: 16 in. pipe 2,746 Ft x 3.38 Ft x 5.38 Ft / 27 = 1,850 CY; 12 in. pipe 344 Ft x 3.05 Ft x 5.05 Ft / 27 = 196 CY; 8 in. pipe 136 Ft x 2.72 Ft x 4.72 Ft / 27 = 65 CY; 6 in. pipe 105 Ft x 2.63 Ft x 4.63 Ft / 27 = 47 CY; total rounded = 2,026 CY.</t>
        </is>
      </c>
    </row>
    <row r="53">
      <c r="A53" s="5" t="n">
        <v>47</v>
      </c>
      <c r="B53" s="5" t="inlineStr"/>
      <c r="C53" s="6" t="inlineStr">
        <is>
          <t>Water Main Trench Backfill</t>
        </is>
      </c>
      <c r="D53" s="5" t="inlineStr">
        <is>
          <t>CY</t>
        </is>
      </c>
      <c r="E53" s="7" t="n">
        <v>1823</v>
      </c>
      <c r="F53" s="8" t="inlineStr"/>
      <c r="G53" s="8" t="inlineStr"/>
      <c r="H53" s="9" t="n">
        <v>93</v>
      </c>
      <c r="I53" s="11" t="inlineStr">
        <is>
          <t>Engineer Review</t>
        </is>
      </c>
      <c r="J53" s="8" t="inlineStr">
        <is>
          <t>Water-main pipe quantities derived from sheets 81-86</t>
        </is>
      </c>
      <c r="K53" s="8" t="inlineStr">
        <is>
          <t>Estimator allowance = water-main trench excavation 2,026 CY less 6 in. bedding 203 CY; excludes pipe displacement and unsuitable-material replacement pending utility detail confirmation.</t>
        </is>
      </c>
    </row>
    <row r="54">
      <c r="A54" s="5" t="n">
        <v>48</v>
      </c>
      <c r="B54" s="5" t="inlineStr"/>
      <c r="C54" s="6" t="inlineStr">
        <is>
          <t>Unstable Material Excavation with Subbase</t>
        </is>
      </c>
      <c r="D54" s="5" t="inlineStr">
        <is>
          <t>T</t>
        </is>
      </c>
      <c r="E54" s="7" t="n">
        <v>5381</v>
      </c>
      <c r="F54" s="8" t="inlineStr"/>
      <c r="G54" s="8" t="inlineStr"/>
      <c r="H54" s="9" t="n">
        <v>95</v>
      </c>
      <c r="I54" s="11" t="inlineStr">
        <is>
          <t>Engineer Review</t>
        </is>
      </c>
      <c r="J54" s="8" t="inlineStr">
        <is>
          <t>Sheet J9, grading-plan callout and legend; STA 79+75 TO STA 89+75</t>
        </is>
      </c>
      <c r="K54" s="8" t="inlineStr">
        <is>
          <t>Extracted from printed callout: 5,381 TON - SUBBASE. Legend identifies shaded area as UNSTABLE MATERIAL EXCAVATION WITH SUBBASE (ALT. A) OR SUITABLE ONSITE FILL (ALT. B).</t>
        </is>
      </c>
    </row>
    <row r="55">
      <c r="A55" s="5" t="n">
        <v>49</v>
      </c>
      <c r="B55" s="5" t="inlineStr"/>
      <c r="C55" s="6" t="inlineStr">
        <is>
          <t>Suitable Onsite Fill</t>
        </is>
      </c>
      <c r="D55" s="5" t="inlineStr">
        <is>
          <t>T</t>
        </is>
      </c>
      <c r="E55" s="7" t="n">
        <v>5381</v>
      </c>
      <c r="F55" s="8" t="inlineStr"/>
      <c r="G55" s="8" t="inlineStr"/>
      <c r="H55" s="9" t="n">
        <v>93</v>
      </c>
      <c r="I55" s="11" t="inlineStr">
        <is>
          <t>Engineer Review</t>
        </is>
      </c>
      <c r="J55" s="8" t="inlineStr">
        <is>
          <t>Sheet J9, grading-plan callout and legend; STA 79+75 TO STA 89+75</t>
        </is>
      </c>
      <c r="K55" s="8" t="inlineStr">
        <is>
          <t>Alternate quantity corresponding to the same shaded unstable-material area. Printed quantity is 5,381 TON - SUBBASE; legend states Alternate B is suitable onsite fill. Do not combine with Alternate A.</t>
        </is>
      </c>
    </row>
    <row r="56">
      <c r="A56" s="5" t="n">
        <v>50</v>
      </c>
      <c r="B56" s="5" t="inlineStr"/>
      <c r="C56" s="6" t="inlineStr">
        <is>
          <t>Water Main Trench Excavation for 16 in PVC</t>
        </is>
      </c>
      <c r="D56" s="5" t="inlineStr">
        <is>
          <t>CY</t>
        </is>
      </c>
      <c r="E56" s="7" t="n">
        <v>395.06</v>
      </c>
      <c r="F56" s="8" t="inlineStr"/>
      <c r="G56" s="8" t="inlineStr"/>
      <c r="H56" s="9" t="n">
        <v>93</v>
      </c>
      <c r="I56" s="11" t="inlineStr">
        <is>
          <t>Engineer Review</t>
        </is>
      </c>
      <c r="J56" s="8" t="inlineStr">
        <is>
          <t>16 in PVC water main extent shown on M6-M10, STA 75+00 through STA 81+00.</t>
        </is>
      </c>
      <c r="K56" s="8" t="inlineStr">
        <is>
          <t>Derived quantity. Assumptions: 4 Ft cover; nominal 16 in pipe OD = 1.333 Ft; trench width = OD + 2 Ft = 3.333 Ft; excavation depth = cover + OD = 5.333 Ft. Quantity = 3.333 Ft x 5.333 Ft x 600 Ft / 27 = 395.06 CuYd.</t>
        </is>
      </c>
    </row>
    <row r="57">
      <c r="A57" s="5" t="n">
        <v>51</v>
      </c>
      <c r="B57" s="5" t="inlineStr"/>
      <c r="C57" s="6" t="inlineStr">
        <is>
          <t>Water Main Trench Backfill for 16 in PVC</t>
        </is>
      </c>
      <c r="D57" s="5" t="inlineStr">
        <is>
          <t>CY</t>
        </is>
      </c>
      <c r="E57" s="7" t="n">
        <v>327</v>
      </c>
      <c r="F57" s="8" t="inlineStr"/>
      <c r="G57" s="8" t="inlineStr"/>
      <c r="H57" s="9" t="n">
        <v>93</v>
      </c>
      <c r="I57" s="11" t="inlineStr">
        <is>
          <t>Engineer Review</t>
        </is>
      </c>
      <c r="J57" s="8" t="inlineStr">
        <is>
          <t>16 in PVC water main extent shown on M6-M10, STA 75+00 through STA 81+00.</t>
        </is>
      </c>
      <c r="K57" s="8" t="inlineStr">
        <is>
          <t>Derived quantity. Excavation 395.06 CuYd less 6 in bedding 37.04 CuYd less nominal 16 in pipe displacement [pi x (0.667 Ft)^2 x 600 Ft / 27 = 31.02 CuYd] = 327.00 CuYd.</t>
        </is>
      </c>
    </row>
    <row r="58">
      <c r="A58" s="5" t="n">
        <v>52</v>
      </c>
      <c r="B58" s="5" t="inlineStr"/>
      <c r="C58" s="6" t="inlineStr">
        <is>
          <t>Trench Excavation for 16-inch PVC Water Main</t>
        </is>
      </c>
      <c r="D58" s="5" t="inlineStr">
        <is>
          <t>CY</t>
        </is>
      </c>
      <c r="E58" s="7" t="n">
        <v>828.1</v>
      </c>
      <c r="F58" s="8" t="inlineStr"/>
      <c r="G58" s="8" t="inlineStr"/>
      <c r="H58" s="9" t="n">
        <v>93</v>
      </c>
      <c r="I58" s="11" t="inlineStr">
        <is>
          <t>Engineer Review</t>
        </is>
      </c>
      <c r="J58" s="8" t="inlineStr">
        <is>
          <t>M11-M18 cross sections show proposed 16-inch PVC water main from Sta. 81+50 through Sta. 93+00.</t>
        </is>
      </c>
      <c r="K58" s="8" t="inlineStr">
        <is>
          <t>1,150 Ft × 3.333 Ft trench width × 5.833 Ft trench depth / 27 = 828.1 CuYd. Assumptions: nominal 16-inch pipe OD = 1.333 Ft; trench width = OD + 2 Ft = 3.333 Ft; depth = assumed 4.00 Ft cover + 1.333 Ft pipe OD + 0.50 Ft bedding.</t>
        </is>
      </c>
    </row>
    <row r="59">
      <c r="A59" s="5" t="n">
        <v>53</v>
      </c>
      <c r="B59" s="5" t="inlineStr"/>
      <c r="C59" s="6" t="inlineStr">
        <is>
          <t>Trench Backfill for 16-inch PVC Water Main</t>
        </is>
      </c>
      <c r="D59" s="5" t="inlineStr">
        <is>
          <t>CY</t>
        </is>
      </c>
      <c r="E59" s="7" t="n">
        <v>698</v>
      </c>
      <c r="F59" s="8" t="inlineStr"/>
      <c r="G59" s="8" t="inlineStr"/>
      <c r="H59" s="9" t="n">
        <v>93</v>
      </c>
      <c r="I59" s="11" t="inlineStr">
        <is>
          <t>Engineer Review</t>
        </is>
      </c>
      <c r="J59" s="8" t="inlineStr">
        <is>
          <t>Proposed 16-inch PVC water-main callouts, Sheets M19-M26</t>
        </is>
      </c>
      <c r="K59" s="8" t="inlineStr">
        <is>
          <t>Trench excavation 828 CuYd minus 6-inch bedding 71 CuYd minus pipe displacement [pi x (1.333 Ft / 2)^2 x 1,150 Ft / 27 = 59 CuYd] = 698 CuYd.</t>
        </is>
      </c>
    </row>
    <row r="60">
      <c r="A60" s="5" t="n">
        <v>54</v>
      </c>
      <c r="B60" s="5" t="inlineStr"/>
      <c r="C60" s="6" t="inlineStr">
        <is>
          <t>Trench Excavation for 16-inch PVC Water Main</t>
        </is>
      </c>
      <c r="D60" s="5" t="inlineStr">
        <is>
          <t>CY</t>
        </is>
      </c>
      <c r="E60" s="7" t="n">
        <v>828</v>
      </c>
      <c r="F60" s="8" t="inlineStr"/>
      <c r="G60" s="8" t="inlineStr"/>
      <c r="H60" s="9" t="n">
        <v>93</v>
      </c>
      <c r="I60" s="11" t="inlineStr">
        <is>
          <t>Engineer Review</t>
        </is>
      </c>
      <c r="J60" s="8" t="inlineStr">
        <is>
          <t>Proposed 16-inch PVC water-main callouts, Sheets M19-M26, STA. 93+50 through STA. 105+00</t>
        </is>
      </c>
      <c r="K60" s="8" t="inlineStr">
        <is>
          <t>1,150 Ft x [trench width max(16 in / 12 + 2 Ft, 2.5 Ft) = 3.333 Ft] x [4.0 Ft assumed cover + 1.333 Ft assumed pipe OD + 0.5 Ft bedding] / 27 = 828 CuYd.</t>
        </is>
      </c>
    </row>
    <row r="61">
      <c r="A61" s="3" t="inlineStr">
        <is>
          <t>Erosion Control / Restoration</t>
        </is>
      </c>
      <c r="B61" s="4" t="n"/>
      <c r="C61" s="4" t="n"/>
      <c r="D61" s="4" t="n"/>
      <c r="E61" s="4" t="n"/>
      <c r="F61" s="4" t="n"/>
      <c r="G61" s="4" t="n"/>
      <c r="H61" s="4" t="n"/>
      <c r="I61" s="4" t="n"/>
      <c r="J61" s="4" t="n"/>
      <c r="K61" s="4" t="n"/>
    </row>
    <row r="62">
      <c r="A62" s="5" t="n">
        <v>55</v>
      </c>
      <c r="B62" s="5" t="inlineStr"/>
      <c r="C62" s="6" t="inlineStr">
        <is>
          <t>Storm Water Pollution Prevention Plan and Erosion Control</t>
        </is>
      </c>
      <c r="D62" s="5" t="inlineStr">
        <is>
          <t>LS</t>
        </is>
      </c>
      <c r="E62" s="7" t="n">
        <v>1</v>
      </c>
      <c r="F62" s="8" t="inlineStr"/>
      <c r="G62" s="8" t="inlineStr"/>
      <c r="H62" s="9" t="n">
        <v>93</v>
      </c>
      <c r="I62" s="11" t="inlineStr">
        <is>
          <t>Engineer Review</t>
        </is>
      </c>
      <c r="J62" s="8" t="inlineStr">
        <is>
          <t>Sheets G1-G3 provide the SWPPP narrative, erosion/sediment-control sequence, permanent stabilization requirements, temporary erosion-control measures, maintenance, and removal requirements.</t>
        </is>
      </c>
      <c r="K62" s="8" t="inlineStr">
        <is>
          <t>One lump-sum SWPPP and erosion-control program for the project. Individual silt fence, sediment basin, inlet protection, wattles, street sweeping, washout, and tracking-control quantities are not stated or graphically quantified on these sheets.</t>
        </is>
      </c>
    </row>
    <row r="63">
      <c r="A63" s="5" t="n">
        <v>56</v>
      </c>
      <c r="B63" s="5" t="inlineStr"/>
      <c r="C63" s="6" t="inlineStr">
        <is>
          <t>Permanent Stabilization of Disturbed Areas</t>
        </is>
      </c>
      <c r="D63" s="5" t="inlineStr">
        <is>
          <t>ACRE</t>
        </is>
      </c>
      <c r="E63" s="7" t="n">
        <v>14.6</v>
      </c>
      <c r="F63" s="8" t="inlineStr"/>
      <c r="G63" s="8" t="inlineStr"/>
      <c r="H63" s="9" t="n">
        <v>93</v>
      </c>
      <c r="I63" s="11" t="inlineStr">
        <is>
          <t>Engineer Review</t>
        </is>
      </c>
      <c r="J63" s="8" t="inlineStr">
        <is>
          <t>Sheet G1, Area and Volume Disturbed, states total surface area to be disturbed is 14.6 acres; Sheet G2 requires seed, fertilizer, erosion-control blanket, and riprap for permanent stabilization of applicable areas.</t>
        </is>
      </c>
      <c r="K63" s="8" t="inlineStr">
        <is>
          <t>Quantity carried from the stated disturbed-area total of 14.6 Acre. Actual seed, blanket, riprap, paved, gravel, pond, and other stabilization subareas are not allocated on these sheets; quantity requires reconciliation with erosion-control layout sheets before bidding.</t>
        </is>
      </c>
    </row>
    <row r="64">
      <c r="A64" s="5" t="n">
        <v>57</v>
      </c>
      <c r="B64" s="5" t="inlineStr"/>
      <c r="C64" s="6" t="inlineStr">
        <is>
          <t>Soil Stabilizer</t>
        </is>
      </c>
      <c r="D64" s="5" t="inlineStr">
        <is>
          <t>ACRE</t>
        </is>
      </c>
      <c r="E64" s="7" t="n">
        <v>2.3</v>
      </c>
      <c r="F64" s="8" t="inlineStr"/>
      <c r="G64" s="8" t="inlineStr"/>
      <c r="H64" s="9" t="n">
        <v>95</v>
      </c>
      <c r="I64" s="11" t="inlineStr">
        <is>
          <t>Engineer Review</t>
        </is>
      </c>
      <c r="J64" s="8" t="inlineStr">
        <is>
          <t>G7-G11 station quantity callout blocks: G7 0.25 AC; G8 0.44 AC; G9 0.59 AC; G10 0.44 AC; G11 0.58 AC</t>
        </is>
      </c>
      <c r="K64" s="8" t="inlineStr">
        <is>
          <t>0.25 + 0.44 + 0.59 + 0.44 + 0.58 = 2.30 Acres. Extracted from station-specific erosion-control plan callouts.</t>
        </is>
      </c>
    </row>
    <row r="65">
      <c r="A65" s="5" t="n">
        <v>58</v>
      </c>
      <c r="B65" s="5" t="inlineStr"/>
      <c r="C65" s="6" t="inlineStr">
        <is>
          <t>Cover Crop Seeding</t>
        </is>
      </c>
      <c r="D65" s="5" t="inlineStr">
        <is>
          <t>BUSHEL</t>
        </is>
      </c>
      <c r="E65" s="7" t="n">
        <v>0.24</v>
      </c>
      <c r="F65" s="8" t="inlineStr"/>
      <c r="G65" s="8" t="inlineStr"/>
      <c r="H65" s="9" t="n">
        <v>95</v>
      </c>
      <c r="I65" s="11" t="inlineStr">
        <is>
          <t>Engineer Review</t>
        </is>
      </c>
      <c r="J65" s="8" t="inlineStr">
        <is>
          <t>G7-G10 station quantity callout blocks: G7 0.08 BU; G8 0.08 BU; G9 0.05 BU; G10 0.03 BU</t>
        </is>
      </c>
      <c r="K65" s="8" t="inlineStr">
        <is>
          <t>0.08 + 0.08 + 0.05 + 0.03 = 0.24 Bushel. G11 contains no Cover Crop Seeding callout quantity.</t>
        </is>
      </c>
    </row>
    <row r="66">
      <c r="A66" s="5" t="n">
        <v>59</v>
      </c>
      <c r="B66" s="5" t="inlineStr"/>
      <c r="C66" s="6" t="inlineStr">
        <is>
          <t>Silt Fence</t>
        </is>
      </c>
      <c r="D66" s="5" t="inlineStr">
        <is>
          <t>LF</t>
        </is>
      </c>
      <c r="E66" s="7" t="n">
        <v>861</v>
      </c>
      <c r="F66" s="8" t="inlineStr"/>
      <c r="G66" s="8" t="inlineStr"/>
      <c r="H66" s="9" t="n">
        <v>95</v>
      </c>
      <c r="I66" s="11" t="inlineStr">
        <is>
          <t>Engineer Review</t>
        </is>
      </c>
      <c r="J66" s="8" t="inlineStr">
        <is>
          <t>G7-G11 station quantity callout blocks: G7 115 LF; G8 20 LF; G9 20 LF; G10 235 LF; G11 471 LF</t>
        </is>
      </c>
      <c r="K66" s="8" t="inlineStr">
        <is>
          <t>115 + 20 + 20 + 235 + 471 = 861 Ft. Extracted from station-specific erosion-control plan callouts.</t>
        </is>
      </c>
    </row>
    <row r="67">
      <c r="A67" s="5" t="n">
        <v>60</v>
      </c>
      <c r="B67" s="5" t="inlineStr"/>
      <c r="C67" s="6" t="inlineStr">
        <is>
          <t>Silt Fence Drop Inlet Sediment Filter</t>
        </is>
      </c>
      <c r="D67" s="5" t="inlineStr">
        <is>
          <t>EA</t>
        </is>
      </c>
      <c r="E67" s="7" t="n">
        <v>12</v>
      </c>
      <c r="F67" s="8" t="inlineStr"/>
      <c r="G67" s="8" t="inlineStr"/>
      <c r="H67" s="9" t="n">
        <v>95</v>
      </c>
      <c r="I67" s="11" t="inlineStr">
        <is>
          <t>Engineer Review</t>
        </is>
      </c>
      <c r="J67" s="8" t="inlineStr">
        <is>
          <t>G7-G11 station quantity callout blocks: G7 2 EA; G8 2 EA; G9 2 EA; G10 4 EA; G11 2 EA</t>
        </is>
      </c>
      <c r="K67" s="8" t="inlineStr">
        <is>
          <t>2 + 2 + 2 + 4 + 2 = 12 Each. Extracted from station-specific erosion-control plan callouts.</t>
        </is>
      </c>
    </row>
    <row r="68">
      <c r="A68" s="5" t="n">
        <v>61</v>
      </c>
      <c r="B68" s="5" t="inlineStr"/>
      <c r="C68" s="6" t="inlineStr">
        <is>
          <t>Type B Inlet Protection</t>
        </is>
      </c>
      <c r="D68" s="5" t="inlineStr">
        <is>
          <t>EA</t>
        </is>
      </c>
      <c r="E68" s="7" t="n">
        <v>2</v>
      </c>
      <c r="F68" s="8" t="inlineStr"/>
      <c r="G68" s="8" t="inlineStr"/>
      <c r="H68" s="9" t="n">
        <v>95</v>
      </c>
      <c r="I68" s="11" t="inlineStr">
        <is>
          <t>Engineer Review</t>
        </is>
      </c>
      <c r="J68" s="8" t="inlineStr">
        <is>
          <t>G7 station quantity callout block and note: Existing inlets at Tallgrass Avenue and 85th Street intersection to have Type B inlet protection (2 EA)</t>
        </is>
      </c>
      <c r="K68" s="8" t="inlineStr">
        <is>
          <t>Extracted from G7 station quantity callout block; plan note confirms two existing inlets.</t>
        </is>
      </c>
    </row>
    <row r="69">
      <c r="A69" s="5" t="n">
        <v>62</v>
      </c>
      <c r="B69" s="5" t="inlineStr"/>
      <c r="C69" s="6" t="inlineStr">
        <is>
          <t>Temporary Vehicle Tracking Control</t>
        </is>
      </c>
      <c r="D69" s="5" t="inlineStr">
        <is>
          <t>EA</t>
        </is>
      </c>
      <c r="E69" s="7" t="n">
        <v>1</v>
      </c>
      <c r="F69" s="8" t="inlineStr"/>
      <c r="G69" s="8" t="inlineStr"/>
      <c r="H69" s="9" t="n">
        <v>95</v>
      </c>
      <c r="I69" s="11" t="inlineStr">
        <is>
          <t>Engineer Review</t>
        </is>
      </c>
      <c r="J69" s="8" t="inlineStr">
        <is>
          <t>G7 station quantity callout block, STA 65+00 to STA 70+00</t>
        </is>
      </c>
      <c r="K69" s="8" t="inlineStr">
        <is>
          <t>Extracted quantity: 1 EA.</t>
        </is>
      </c>
    </row>
    <row r="70">
      <c r="A70" s="5" t="n">
        <v>63</v>
      </c>
      <c r="B70" s="5" t="inlineStr"/>
      <c r="C70" s="6" t="inlineStr">
        <is>
          <t>Concrete Washout Area</t>
        </is>
      </c>
      <c r="D70" s="5" t="inlineStr">
        <is>
          <t>EA</t>
        </is>
      </c>
      <c r="E70" s="7" t="n">
        <v>1</v>
      </c>
      <c r="F70" s="8" t="inlineStr"/>
      <c r="G70" s="8" t="inlineStr"/>
      <c r="H70" s="9" t="n">
        <v>95</v>
      </c>
      <c r="I70" s="11" t="inlineStr">
        <is>
          <t>Engineer Review</t>
        </is>
      </c>
      <c r="J70" s="8" t="inlineStr">
        <is>
          <t>G7 station quantity callout block, STA 65+00 to STA 70+00</t>
        </is>
      </c>
      <c r="K70" s="8" t="inlineStr">
        <is>
          <t>Extracted quantity: 1 EA.</t>
        </is>
      </c>
    </row>
    <row r="71">
      <c r="A71" s="5" t="n">
        <v>64</v>
      </c>
      <c r="B71" s="5" t="inlineStr"/>
      <c r="C71" s="6" t="inlineStr">
        <is>
          <t>12 Inch Diameter Erosion Control Wattle</t>
        </is>
      </c>
      <c r="D71" s="5" t="inlineStr">
        <is>
          <t>LF</t>
        </is>
      </c>
      <c r="E71" s="7" t="n">
        <v>50</v>
      </c>
      <c r="F71" s="8" t="inlineStr"/>
      <c r="G71" s="8" t="inlineStr"/>
      <c r="H71" s="9" t="n">
        <v>95</v>
      </c>
      <c r="I71" s="11" t="inlineStr">
        <is>
          <t>Engineer Review</t>
        </is>
      </c>
      <c r="J71" s="8" t="inlineStr">
        <is>
          <t>G9 station quantity callout block, STA 75+00 to STA 80+00</t>
        </is>
      </c>
      <c r="K71" s="8" t="inlineStr">
        <is>
          <t>Extracted quantity: 50 LF.</t>
        </is>
      </c>
    </row>
    <row r="72">
      <c r="A72" s="5" t="n">
        <v>65</v>
      </c>
      <c r="B72" s="5" t="inlineStr"/>
      <c r="C72" s="6" t="inlineStr">
        <is>
          <t>Soil Stabilizer - Project Estimated Quantity</t>
        </is>
      </c>
      <c r="D72" s="5" t="inlineStr">
        <is>
          <t>ACRE</t>
        </is>
      </c>
      <c r="E72" s="7" t="n">
        <v>3.6</v>
      </c>
      <c r="F72" s="8" t="inlineStr"/>
      <c r="G72" s="8" t="inlineStr"/>
      <c r="H72" s="9" t="n">
        <v>93</v>
      </c>
      <c r="I72" s="11" t="inlineStr">
        <is>
          <t>Engineer Review</t>
        </is>
      </c>
      <c r="J72" s="8" t="inlineStr">
        <is>
          <t>G4 Permanent Erosion Control Measures, Soil Stabilizer note</t>
        </is>
      </c>
      <c r="K72" s="8" t="inlineStr">
        <is>
          <t>Note states: "An estimated quantity of 3.6 acres of soil stabilizer has been included in the Estimate of Quantities." This appears to be a project-level estimate and was not added to the G7-G11 station-callout subtotal.</t>
        </is>
      </c>
    </row>
    <row r="73">
      <c r="A73" s="5" t="n">
        <v>66</v>
      </c>
      <c r="B73" s="5" t="inlineStr"/>
      <c r="C73" s="6" t="inlineStr">
        <is>
          <t>Silt Fence (Woven Wire)</t>
        </is>
      </c>
      <c r="D73" s="5" t="inlineStr">
        <is>
          <t>LF</t>
        </is>
      </c>
      <c r="E73" s="7" t="n">
        <v>1472</v>
      </c>
      <c r="F73" s="8" t="inlineStr"/>
      <c r="G73" s="8" t="inlineStr"/>
      <c r="H73" s="9" t="n">
        <v>96</v>
      </c>
      <c r="I73" s="11" t="inlineStr">
        <is>
          <t>Engineer Review</t>
        </is>
      </c>
      <c r="J73" s="8" t="inlineStr">
        <is>
          <t>G12 callout: 458 LF; G13 callout: 84 LF; G14 callout: 111 LF; G15 callout: 819 LF. Detail plate 734.09 is shown on G17.</t>
        </is>
      </c>
      <c r="K73" s="8" t="inlineStr">
        <is>
          <t>Summed printed plan callout quantities: 458 Ft + 84 Ft + 111 Ft + 819 Ft = 1,472 Ft.</t>
        </is>
      </c>
    </row>
    <row r="74">
      <c r="A74" s="5" t="n">
        <v>67</v>
      </c>
      <c r="B74" s="5" t="inlineStr"/>
      <c r="C74" s="6" t="inlineStr">
        <is>
          <t>Fertilizing</t>
        </is>
      </c>
      <c r="D74" s="5" t="inlineStr">
        <is>
          <t>LB</t>
        </is>
      </c>
      <c r="E74" s="7" t="n">
        <v>1221</v>
      </c>
      <c r="F74" s="8" t="inlineStr"/>
      <c r="G74" s="8" t="inlineStr"/>
      <c r="H74" s="9" t="n">
        <v>96</v>
      </c>
      <c r="I74" s="11" t="inlineStr">
        <is>
          <t>Engineer Review</t>
        </is>
      </c>
      <c r="J74" s="8" t="inlineStr">
        <is>
          <t>G14 quantity callout: 39 LB fertilizing; G15 quantity callout: 1,182 LB fertilizing.</t>
        </is>
      </c>
      <c r="K74" s="8" t="inlineStr">
        <is>
          <t>Summed printed plan callout quantities: 39 Lb + 1,182 Lb = 1,221 Lb.</t>
        </is>
      </c>
    </row>
    <row r="75">
      <c r="A75" s="5" t="n">
        <v>68</v>
      </c>
      <c r="B75" s="5" t="inlineStr"/>
      <c r="C75" s="6" t="inlineStr">
        <is>
          <t>Wetland Seed Mixture 2</t>
        </is>
      </c>
      <c r="D75" s="5" t="inlineStr">
        <is>
          <t>LB</t>
        </is>
      </c>
      <c r="E75" s="7" t="n">
        <v>160</v>
      </c>
      <c r="F75" s="8" t="inlineStr"/>
      <c r="G75" s="8" t="inlineStr"/>
      <c r="H75" s="9" t="n">
        <v>96</v>
      </c>
      <c r="I75" s="11" t="inlineStr">
        <is>
          <t>Engineer Review</t>
        </is>
      </c>
      <c r="J75" s="8" t="inlineStr">
        <is>
          <t>G14 quantity callout: 5 LB Wetland Seed Mixture 2; G15 quantity callout: 155 LB Wetland Seed Mixture 2.</t>
        </is>
      </c>
      <c r="K75" s="8" t="inlineStr">
        <is>
          <t>Summed printed plan callout quantities: 5 Lb + 155 Lb = 160 Lb.</t>
        </is>
      </c>
    </row>
    <row r="76">
      <c r="A76" s="5" t="n">
        <v>69</v>
      </c>
      <c r="B76" s="5" t="inlineStr"/>
      <c r="C76" s="6" t="inlineStr">
        <is>
          <t>Bonded Fiber Matrix</t>
        </is>
      </c>
      <c r="D76" s="5" t="inlineStr">
        <is>
          <t>T</t>
        </is>
      </c>
      <c r="E76" s="7" t="n">
        <v>7.23</v>
      </c>
      <c r="F76" s="8" t="inlineStr"/>
      <c r="G76" s="8" t="inlineStr"/>
      <c r="H76" s="9" t="n">
        <v>96</v>
      </c>
      <c r="I76" s="11" t="inlineStr">
        <is>
          <t>Engineer Review</t>
        </is>
      </c>
      <c r="J76" s="8" t="inlineStr">
        <is>
          <t>G14 quantity callout: 0.23 TON Bonded Fiber Matrix; G15 quantity callout: 7.00 TON Bonded Fiber Matrix.</t>
        </is>
      </c>
      <c r="K76" s="8" t="inlineStr">
        <is>
          <t>Summed printed plan callout quantities: 0.23 Ton + 7.00 Ton = 7.23 Ton.</t>
        </is>
      </c>
    </row>
    <row r="77">
      <c r="A77" s="5" t="n">
        <v>70</v>
      </c>
      <c r="B77" s="5" t="inlineStr"/>
      <c r="C77" s="6" t="inlineStr">
        <is>
          <t>Class B Riprap</t>
        </is>
      </c>
      <c r="D77" s="5" t="inlineStr">
        <is>
          <t>T</t>
        </is>
      </c>
      <c r="E77" s="7" t="n">
        <v>775</v>
      </c>
      <c r="F77" s="8" t="inlineStr"/>
      <c r="G77" s="8" t="inlineStr"/>
      <c r="H77" s="9" t="n">
        <v>96</v>
      </c>
      <c r="I77" s="11" t="inlineStr">
        <is>
          <t>Engineer Review</t>
        </is>
      </c>
      <c r="J77" s="8" t="inlineStr">
        <is>
          <t>G14 quantity callout: 146 TON Class B Riprap; G15 quantity callout: 629 TON Class B Riprap. Outlet-protection detail on G17 requires riprap over filter fabric where applicable.</t>
        </is>
      </c>
      <c r="K77" s="8" t="inlineStr">
        <is>
          <t>Summed printed plan callout quantities: 146 Ton + 629 Ton = 775 Ton.</t>
        </is>
      </c>
    </row>
    <row r="78">
      <c r="A78" s="5" t="n">
        <v>71</v>
      </c>
      <c r="B78" s="5" t="inlineStr"/>
      <c r="C78" s="6" t="inlineStr">
        <is>
          <t>Type B Drainage Fabric</t>
        </is>
      </c>
      <c r="D78" s="5" t="inlineStr">
        <is>
          <t>SY</t>
        </is>
      </c>
      <c r="E78" s="7" t="n">
        <v>556</v>
      </c>
      <c r="F78" s="8" t="inlineStr"/>
      <c r="G78" s="8" t="inlineStr"/>
      <c r="H78" s="9" t="n">
        <v>96</v>
      </c>
      <c r="I78" s="11" t="inlineStr">
        <is>
          <t>Engineer Review</t>
        </is>
      </c>
      <c r="J78" s="8" t="inlineStr">
        <is>
          <t>G14 quantity callout: 105 SY Type B Drainage Fabric; G15 quantity callout: 451 SY Type B Drainage Fabric.</t>
        </is>
      </c>
      <c r="K78" s="8" t="inlineStr">
        <is>
          <t>Summed printed plan callout quantities: 105 SqYd + 451 SqYd = 556 SqYd.</t>
        </is>
      </c>
    </row>
    <row r="79">
      <c r="A79" s="5" t="n">
        <v>72</v>
      </c>
      <c r="B79" s="5" t="inlineStr"/>
      <c r="C79" s="6" t="inlineStr">
        <is>
          <t>Erosion Control Blanket</t>
        </is>
      </c>
      <c r="D79" s="5" t="inlineStr">
        <is>
          <t>SY</t>
        </is>
      </c>
      <c r="E79" s="7" t="n">
        <v>6537</v>
      </c>
      <c r="F79" s="8" t="inlineStr"/>
      <c r="G79" s="8" t="inlineStr"/>
      <c r="H79" s="9" t="n">
        <v>97</v>
      </c>
      <c r="I79" s="10" t="inlineStr">
        <is>
          <t>Verified</t>
        </is>
      </c>
      <c r="J79" s="8" t="inlineStr">
        <is>
          <t>G15 quantity callout: 6,537 SY Erosion Control Blanket. Standard erosion-control blanket detail is shown on G16, plate 734.01.</t>
        </is>
      </c>
      <c r="K79" s="8" t="inlineStr">
        <is>
          <t>Extracted directly from the G15 printed quantity callout.</t>
        </is>
      </c>
    </row>
    <row r="80">
      <c r="A80" s="5" t="n">
        <v>73</v>
      </c>
      <c r="B80" s="5" t="inlineStr"/>
      <c r="C80" s="6" t="inlineStr">
        <is>
          <t>Temporary Sediment Basin</t>
        </is>
      </c>
      <c r="D80" s="5" t="inlineStr">
        <is>
          <t>EA</t>
        </is>
      </c>
      <c r="E80" s="7" t="n">
        <v>1</v>
      </c>
      <c r="F80" s="8" t="inlineStr"/>
      <c r="G80" s="8" t="inlineStr"/>
      <c r="H80" s="9" t="n">
        <v>97</v>
      </c>
      <c r="I80" s="10" t="inlineStr">
        <is>
          <t>Verified</t>
        </is>
      </c>
      <c r="J80" s="8" t="inlineStr">
        <is>
          <t>G15 quantity callout: 1 EA Temporary Sediment Basin. Sediment Basin Horseshoe Filter detail is shown on G19, plate 734.23.</t>
        </is>
      </c>
      <c r="K80" s="8" t="inlineStr">
        <is>
          <t>Extracted directly from the G15 printed quantity callout.</t>
        </is>
      </c>
    </row>
    <row r="81">
      <c r="A81" s="3" t="inlineStr">
        <is>
          <t>Surfacing</t>
        </is>
      </c>
      <c r="B81" s="4" t="n"/>
      <c r="C81" s="4" t="n"/>
      <c r="D81" s="4" t="n"/>
      <c r="E81" s="4" t="n"/>
      <c r="F81" s="4" t="n"/>
      <c r="G81" s="4" t="n"/>
      <c r="H81" s="4" t="n"/>
      <c r="I81" s="4" t="n"/>
      <c r="J81" s="4" t="n"/>
      <c r="K81" s="4" t="n"/>
    </row>
    <row r="82">
      <c r="A82" s="5" t="n">
        <v>74</v>
      </c>
      <c r="B82" s="5" t="inlineStr"/>
      <c r="C82" s="6" t="inlineStr">
        <is>
          <t>Aggregate Base Course - Alternate A: Geotextile Fabric and Subbase</t>
        </is>
      </c>
      <c r="D82" s="5" t="inlineStr">
        <is>
          <t>T</t>
        </is>
      </c>
      <c r="E82" s="7" t="n">
        <v>32030</v>
      </c>
      <c r="F82" s="8" t="inlineStr"/>
      <c r="G82" s="8" t="inlineStr"/>
      <c r="H82" s="9" t="n">
        <v>99</v>
      </c>
      <c r="I82" s="10" t="inlineStr">
        <is>
          <t>Verified</t>
        </is>
      </c>
      <c r="J82" s="8" t="inlineStr">
        <is>
          <t>Table of Aggregate Base Course (Ton), Alternate A - Geotextile Fabric and Subbase</t>
        </is>
      </c>
      <c r="K82" s="8" t="inlineStr">
        <is>
          <t>Extracted Total Aggregate Base Course total; includes Streets 24,224 ton, Unclassified Excavation Digouts 3,003 ton, Unclassified Excavation Grade Stabilization 3,003 ton, and Temporary Gravel Access 1,800 ton.</t>
        </is>
      </c>
    </row>
    <row r="83">
      <c r="A83" s="5" t="n">
        <v>75</v>
      </c>
      <c r="B83" s="5" t="inlineStr"/>
      <c r="C83" s="6" t="inlineStr">
        <is>
          <t>9 in PCC Pavement - Four 11 ft Thru Lanes Only</t>
        </is>
      </c>
      <c r="D83" s="5" t="inlineStr">
        <is>
          <t>SY</t>
        </is>
      </c>
      <c r="E83" s="7" t="n">
        <v>15063.2</v>
      </c>
      <c r="F83" s="8" t="inlineStr"/>
      <c r="G83" s="8" t="inlineStr"/>
      <c r="H83" s="9" t="n">
        <v>93</v>
      </c>
      <c r="I83" s="11" t="inlineStr">
        <is>
          <t>Engineer Review</t>
        </is>
      </c>
      <c r="J83" s="8" t="inlineStr">
        <is>
          <t>C1-C8 Tallgrass Avenue typical sections; 9 in PCC pavement and four 11 ft thru lanes repeatedly shown; station reach STA 67+45 to STA 98+26.11.</t>
        </is>
      </c>
      <c r="K83" s="8" t="inlineStr">
        <is>
          <t>3,081.11 Ft continuous station reach x (4 thru lanes x 11 Ft/lane) / 9 = 15,063.2 SqYd. Excludes variable-width turn lanes, gore lanes, median pavement, and other widening.</t>
        </is>
      </c>
    </row>
    <row r="84">
      <c r="A84" s="5" t="n">
        <v>76</v>
      </c>
      <c r="B84" s="5" t="inlineStr"/>
      <c r="C84" s="6" t="inlineStr">
        <is>
          <t>9 in PCC Pavement Concrete - Four 11 ft Thru Lanes Only</t>
        </is>
      </c>
      <c r="D84" s="5" t="inlineStr">
        <is>
          <t>CY</t>
        </is>
      </c>
      <c r="E84" s="7" t="n">
        <v>3765.8</v>
      </c>
      <c r="F84" s="8" t="inlineStr"/>
      <c r="G84" s="8" t="inlineStr"/>
      <c r="H84" s="9" t="n">
        <v>93</v>
      </c>
      <c r="I84" s="11" t="inlineStr">
        <is>
          <t>Engineer Review</t>
        </is>
      </c>
      <c r="J84" s="8" t="inlineStr">
        <is>
          <t>C1-C8 Tallgrass Avenue typical sections; 9 in PCC pavement identified beneath four 11 ft thru lanes.</t>
        </is>
      </c>
      <c r="K84" s="8" t="inlineStr">
        <is>
          <t>3,081.11 Ft x 44 Ft x 0.75 Ft / 27 = 3,765.8 CuYd. This is the quantified four-thru-lane pavement only; variable paving widths require plan-view verification.</t>
        </is>
      </c>
    </row>
    <row r="85">
      <c r="A85" s="5" t="n">
        <v>77</v>
      </c>
      <c r="B85" s="5" t="inlineStr"/>
      <c r="C85" s="6" t="inlineStr">
        <is>
          <t>9 in PCC Pavement</t>
        </is>
      </c>
      <c r="D85" s="5" t="inlineStr">
        <is>
          <t>CY</t>
        </is>
      </c>
      <c r="E85" s="7" t="n">
        <v>211.4</v>
      </c>
      <c r="F85" s="8" t="inlineStr"/>
      <c r="G85" s="8" t="inlineStr"/>
      <c r="H85" s="9" t="n">
        <v>93</v>
      </c>
      <c r="I85" s="11" t="inlineStr">
        <is>
          <t>Engineer Review</t>
        </is>
      </c>
      <c r="J85" s="8" t="inlineStr">
        <is>
          <t>C9 Typical Section - Tallgrass Avenue, STA. 99+23 to 100+96; four 11 ft lanes and 9 in PCC pavement.</t>
        </is>
      </c>
      <c r="K85" s="8" t="inlineStr">
        <is>
          <t>44 ft pavement width x 173 ft station length x 9 in / 12 / 27 = 211.4 CuYd.</t>
        </is>
      </c>
    </row>
    <row r="86">
      <c r="A86" s="5" t="n">
        <v>78</v>
      </c>
      <c r="B86" s="5" t="inlineStr"/>
      <c r="C86" s="6" t="inlineStr">
        <is>
          <t>6 in Aggregate Base Course</t>
        </is>
      </c>
      <c r="D86" s="5" t="inlineStr">
        <is>
          <t>CY</t>
        </is>
      </c>
      <c r="E86" s="7" t="n">
        <v>141</v>
      </c>
      <c r="F86" s="8" t="inlineStr"/>
      <c r="G86" s="8" t="inlineStr"/>
      <c r="H86" s="9" t="n">
        <v>93</v>
      </c>
      <c r="I86" s="11" t="inlineStr">
        <is>
          <t>Engineer Review</t>
        </is>
      </c>
      <c r="J86" s="8" t="inlineStr">
        <is>
          <t>C9 Typical Section - Tallgrass Avenue, STA. 99+23 to 100+96; Alternate B detail identifies 6 in aggregate base course.</t>
        </is>
      </c>
      <c r="K86" s="8" t="inlineStr">
        <is>
          <t>44 ft pavement width x 173 ft station length x 6 in / 12 / 27 = 141.0 CuYd. Alternate B applies through STA. 66+45 to STA. 105+29.</t>
        </is>
      </c>
    </row>
    <row r="87">
      <c r="A87" s="5" t="n">
        <v>79</v>
      </c>
      <c r="B87" s="5" t="inlineStr"/>
      <c r="C87" s="6" t="inlineStr">
        <is>
          <t>5 in Asphalt Concrete Pavement</t>
        </is>
      </c>
      <c r="D87" s="5" t="inlineStr">
        <is>
          <t>T</t>
        </is>
      </c>
      <c r="E87" s="7" t="n">
        <v>103.1</v>
      </c>
      <c r="F87" s="8" t="inlineStr"/>
      <c r="G87" s="8" t="inlineStr"/>
      <c r="H87" s="9" t="n">
        <v>93</v>
      </c>
      <c r="I87" s="11" t="inlineStr">
        <is>
          <t>Engineer Review</t>
        </is>
      </c>
      <c r="J87" s="8" t="inlineStr">
        <is>
          <t>C10 Typical Section - 89th Street, STA. 13+25.22 to 14+20.00; two 18 ft driving lanes and 5 in ACC pavement.</t>
        </is>
      </c>
      <c r="K87" s="8" t="inlineStr">
        <is>
          <t>Station length = 14+20.00 - 13+25.22 = 94.78 ft. Area = 36 ft x 94.78 ft = 3,412.08 SqFt. Tons = 3,412.08 x (5/12) ft x 145 pcf / 2,000 = 103.1 Ton. HMA density assumed at 145 pcf.</t>
        </is>
      </c>
    </row>
    <row r="88">
      <c r="A88" s="5" t="n">
        <v>80</v>
      </c>
      <c r="B88" s="5" t="inlineStr"/>
      <c r="C88" s="6" t="inlineStr">
        <is>
          <t>Aggregate Base Course for Temporary Gravel Access</t>
        </is>
      </c>
      <c r="D88" s="5" t="inlineStr">
        <is>
          <t>T</t>
        </is>
      </c>
      <c r="E88" s="7" t="n">
        <v>1800</v>
      </c>
      <c r="F88" s="8" t="inlineStr"/>
      <c r="G88" s="8" t="inlineStr"/>
      <c r="H88" s="9" t="n">
        <v>95</v>
      </c>
      <c r="I88" s="11" t="inlineStr">
        <is>
          <t>Engineer Review</t>
        </is>
      </c>
      <c r="J88" s="8" t="inlineStr">
        <is>
          <t>Sheet F2, Temporary Gravel Access notes</t>
        </is>
      </c>
      <c r="K88" s="8" t="inlineStr">
        <is>
          <t>Extracted from note: An estimated quantity of 1,800 tons of base course has been included in the plans for temporary gravel access. Note states aggregate base course is to be salvaged and reused for pavement/temporary gravel access construction. This material is included in the Temporary Gravel Access LS payment.</t>
        </is>
      </c>
    </row>
    <row r="89">
      <c r="A89" s="5" t="n">
        <v>81</v>
      </c>
      <c r="B89" s="5" t="inlineStr"/>
      <c r="C89" s="6" t="inlineStr">
        <is>
          <t>Aggregate Base Course</t>
        </is>
      </c>
      <c r="D89" s="5" t="inlineStr">
        <is>
          <t>SY</t>
        </is>
      </c>
      <c r="E89" s="7" t="n">
        <v>10400</v>
      </c>
      <c r="F89" s="8" t="inlineStr"/>
      <c r="G89" s="8" t="inlineStr"/>
      <c r="H89" s="9" t="n">
        <v>93</v>
      </c>
      <c r="I89" s="11" t="inlineStr">
        <is>
          <t>Engineer Review</t>
        </is>
      </c>
      <c r="J89" s="8" t="inlineStr">
        <is>
          <t>Sheets F9-F12 surfacing legend identifies gold-shaded roadway area as Aggregate Base Course; repeated callouts require maintaining two 12-ft minimum driving lanes; visible station extent approximately 66+50 through 105+50.</t>
        </is>
      </c>
      <c r="K89" s="8" t="inlineStr">
        <is>
          <t>Roadway base-course area excluding irregular intersection widening = 24 Ft maintained width x 3,900 Ft station extent / 9 = 10,400 SqYd. No base-course thickness is shown on these sheets; quantity is surface area only and excludes unquantified widened/intersection areas.</t>
        </is>
      </c>
    </row>
    <row r="90">
      <c r="A90" s="5" t="n">
        <v>82</v>
      </c>
      <c r="B90" s="5" t="inlineStr"/>
      <c r="C90" s="6" t="inlineStr">
        <is>
          <t>Aggregate Base Course</t>
        </is>
      </c>
      <c r="D90" s="5" t="inlineStr">
        <is>
          <t>T</t>
        </is>
      </c>
      <c r="E90" s="7" t="n">
        <v>12527</v>
      </c>
      <c r="F90" s="8" t="inlineStr"/>
      <c r="G90" s="8" t="inlineStr"/>
      <c r="H90" s="9" t="n">
        <v>98</v>
      </c>
      <c r="I90" s="10" t="inlineStr">
        <is>
          <t>Verified</t>
        </is>
      </c>
      <c r="J90" s="8" t="inlineStr">
        <is>
          <t>p95-p96 surfacing quantity callouts: STA 64+44 to STA 70+00, 2,346 TON; STA 70+00 to STA 75+00, 3,542 TON; STA 75+00 to STA 80+00, 3,050 TON; STA 80+00 to STA 85+00, 3,589 TON.</t>
        </is>
      </c>
      <c r="K90" s="8" t="inlineStr">
        <is>
          <t>Sum of printed aggregate-base-course quantities: 2,346 Ton + 3,542 Ton + 3,050 Ton + 3,589 Ton = 12,527 Ton.</t>
        </is>
      </c>
    </row>
    <row r="91">
      <c r="A91" s="5" t="n">
        <v>83</v>
      </c>
      <c r="B91" s="5" t="inlineStr"/>
      <c r="C91" s="6" t="inlineStr">
        <is>
          <t>Gravel Surfacing</t>
        </is>
      </c>
      <c r="D91" s="5" t="inlineStr">
        <is>
          <t>T</t>
        </is>
      </c>
      <c r="E91" s="7" t="n">
        <v>95</v>
      </c>
      <c r="F91" s="8" t="inlineStr"/>
      <c r="G91" s="8" t="inlineStr"/>
      <c r="H91" s="9" t="n">
        <v>98</v>
      </c>
      <c r="I91" s="10" t="inlineStr">
        <is>
          <t>Verified</t>
        </is>
      </c>
      <c r="J91" s="8" t="inlineStr">
        <is>
          <t>Sheet J4, lower pavement layout callout: STA 100+50 TO STA 105+17</t>
        </is>
      </c>
      <c r="K91" s="8" t="inlineStr">
        <is>
          <t>Extracted from printed callout: 95 TON - GRAVEL SURFACING.</t>
        </is>
      </c>
    </row>
    <row r="92">
      <c r="A92" s="5" t="n">
        <v>84</v>
      </c>
      <c r="B92" s="5" t="inlineStr"/>
      <c r="C92" s="6" t="inlineStr">
        <is>
          <t>Aggregate Base Course, plan area</t>
        </is>
      </c>
      <c r="D92" s="5" t="inlineStr">
        <is>
          <t>SY</t>
        </is>
      </c>
      <c r="E92" s="7" t="n">
        <v>8875</v>
      </c>
      <c r="F92" s="8" t="inlineStr"/>
      <c r="G92" s="8" t="inlineStr"/>
      <c r="H92" s="9" t="n">
        <v>93</v>
      </c>
      <c r="I92" s="11" t="inlineStr">
        <is>
          <t>Engineer Review</t>
        </is>
      </c>
      <c r="J92" s="8" t="inlineStr">
        <is>
          <t>Cross-section pavement hatch extents, Sheets M19-M26, PDF pp.145-152, STA. 93+50 to STA. 105+00</t>
        </is>
      </c>
      <c r="K92" s="8" t="inlineStr">
        <is>
          <t>Approximate scaled takeoff from the proposed aggregate-base hatch at 50-Ft cross-section intervals. Trapezoidal area of visually scaled hatch widths, approximately 28 Ft to 94 Ft wide: estimated area = 79,875 SqFt / 9 = 8,875 SqYd. Thickness is not stated on these sheets.</t>
        </is>
      </c>
    </row>
    <row r="93">
      <c r="A93" s="5" t="n">
        <v>85</v>
      </c>
      <c r="B93" s="5" t="inlineStr"/>
      <c r="C93" s="6" t="inlineStr">
        <is>
          <t>Subbase, plan area</t>
        </is>
      </c>
      <c r="D93" s="5" t="inlineStr">
        <is>
          <t>SY</t>
        </is>
      </c>
      <c r="E93" s="7" t="n">
        <v>8875</v>
      </c>
      <c r="F93" s="8" t="inlineStr"/>
      <c r="G93" s="8" t="inlineStr"/>
      <c r="H93" s="9" t="n">
        <v>93</v>
      </c>
      <c r="I93" s="11" t="inlineStr">
        <is>
          <t>Engineer Review</t>
        </is>
      </c>
      <c r="J93" s="8" t="inlineStr">
        <is>
          <t>Cross-section subbase hatch extents, Sheets M19-M26, PDF pp.145-152, STA. 93+50 to STA. 105+00</t>
        </is>
      </c>
      <c r="K93" s="8" t="inlineStr">
        <is>
          <t>Approximate scaled takeoff from the proposed subbase hatch, which generally follows the aggregate-base pavement footprint. Estimated area = 79,875 SqFt / 9 = 8,875 SqYd. Subbase thickness is not stated on these sheets.</t>
        </is>
      </c>
    </row>
    <row r="94">
      <c r="A94" s="3" t="inlineStr">
        <is>
          <t>Curb, Gutter &amp; Sidewalk</t>
        </is>
      </c>
      <c r="B94" s="4" t="n"/>
      <c r="C94" s="4" t="n"/>
      <c r="D94" s="4" t="n"/>
      <c r="E94" s="4" t="n"/>
      <c r="F94" s="4" t="n"/>
      <c r="G94" s="4" t="n"/>
      <c r="H94" s="4" t="n"/>
      <c r="I94" s="4" t="n"/>
      <c r="J94" s="4" t="n"/>
      <c r="K94" s="4" t="n"/>
    </row>
    <row r="95">
      <c r="A95" s="5" t="n">
        <v>86</v>
      </c>
      <c r="B95" s="5" t="inlineStr"/>
      <c r="C95" s="6" t="inlineStr">
        <is>
          <t>Type SF69 Concrete Curb and Gutter (5.00% Gutter)</t>
        </is>
      </c>
      <c r="D95" s="5" t="inlineStr">
        <is>
          <t>LF</t>
        </is>
      </c>
      <c r="E95" s="7" t="n">
        <v>6162.22</v>
      </c>
      <c r="F95" s="8" t="inlineStr"/>
      <c r="G95" s="8" t="inlineStr"/>
      <c r="H95" s="9" t="n">
        <v>93</v>
      </c>
      <c r="I95" s="11" t="inlineStr">
        <is>
          <t>Engineer Review</t>
        </is>
      </c>
      <c r="J95" s="8" t="inlineStr">
        <is>
          <t>C1-C8 typical sections show Type SF69 concrete curb and gutter at both outside roadway edges.</t>
        </is>
      </c>
      <c r="K95" s="8" t="inlineStr">
        <is>
          <t>3,081.11 Ft alignment reach x 2 outside curb lines = 6,162.22 Ft. Quantity assumes the two outside Type SF69 curb lines continue through the depicted typical-section reach; curb returns and transition limits require plan-view verification.</t>
        </is>
      </c>
    </row>
    <row r="96">
      <c r="A96" s="5" t="n">
        <v>87</v>
      </c>
      <c r="B96" s="5" t="inlineStr"/>
      <c r="C96" s="6" t="inlineStr">
        <is>
          <t>Special Curb and Gutter (Flat Gutter)</t>
        </is>
      </c>
      <c r="D96" s="5" t="inlineStr">
        <is>
          <t>LF</t>
        </is>
      </c>
      <c r="E96" s="7" t="n">
        <v>6162.22</v>
      </c>
      <c r="F96" s="8" t="inlineStr"/>
      <c r="G96" s="8" t="inlineStr"/>
      <c r="H96" s="9" t="n">
        <v>93</v>
      </c>
      <c r="I96" s="11" t="inlineStr">
        <is>
          <t>Engineer Review</t>
        </is>
      </c>
      <c r="J96" s="8" t="inlineStr">
        <is>
          <t>C1-C8 typical sections show special curb and gutter (flat gutter) on both sides of the raised/colored median.</t>
        </is>
      </c>
      <c r="K96" s="8" t="inlineStr">
        <is>
          <t>3,081.11 Ft alignment reach x 2 median-edge curb lines = 6,162.22 Ft. Median and special-curb limits vary at transitions and turn lanes; verify against plan view before bidding.</t>
        </is>
      </c>
    </row>
    <row r="97">
      <c r="A97" s="5" t="n">
        <v>88</v>
      </c>
      <c r="B97" s="5" t="inlineStr"/>
      <c r="C97" s="6" t="inlineStr">
        <is>
          <t>Type SF6 Concrete Curb and Gutter (5.00 ft Gutter)</t>
        </is>
      </c>
      <c r="D97" s="5" t="inlineStr">
        <is>
          <t>LF</t>
        </is>
      </c>
      <c r="E97" s="7" t="n">
        <v>189.6</v>
      </c>
      <c r="F97" s="8" t="inlineStr"/>
      <c r="G97" s="8" t="inlineStr"/>
      <c r="H97" s="9" t="n">
        <v>93</v>
      </c>
      <c r="I97" s="11" t="inlineStr">
        <is>
          <t>Engineer Review</t>
        </is>
      </c>
      <c r="J97" s="8" t="inlineStr">
        <is>
          <t>C10 Typical Section - 89th Street, STA. 13+25.22 to 14+20.00; Type SF6 concrete curb and gutter on both roadway sides.</t>
        </is>
      </c>
      <c r="K97" s="8" t="inlineStr">
        <is>
          <t>2 sides x (14+20.00 - 13+25.22) = 2 x 94.78 = 189.56 Ft.</t>
        </is>
      </c>
    </row>
    <row r="98">
      <c r="A98" s="5" t="n">
        <v>89</v>
      </c>
      <c r="B98" s="5" t="inlineStr"/>
      <c r="C98" s="6" t="inlineStr">
        <is>
          <t>1-1/2 in. Water Service Curb Stop</t>
        </is>
      </c>
      <c r="D98" s="5" t="inlineStr">
        <is>
          <t>EA</t>
        </is>
      </c>
      <c r="E98" s="7" t="n">
        <v>1</v>
      </c>
      <c r="F98" s="8" t="inlineStr"/>
      <c r="G98" s="8" t="inlineStr"/>
      <c r="H98" s="9" t="n">
        <v>95</v>
      </c>
      <c r="I98" s="11" t="inlineStr">
        <is>
          <t>Engineer Review</t>
        </is>
      </c>
      <c r="J98" s="8" t="inlineStr">
        <is>
          <t>Sheet I10, Construct Water Service callout</t>
        </is>
      </c>
      <c r="K98" s="8" t="inlineStr">
        <is>
          <t>Printed quantity: 1 each 1-1/2 in. water service curb stop.</t>
        </is>
      </c>
    </row>
    <row r="99">
      <c r="A99" s="5" t="n">
        <v>90</v>
      </c>
      <c r="B99" s="5" t="inlineStr"/>
      <c r="C99" s="6" t="inlineStr">
        <is>
          <t>1-1/2 in. Water Service Curb Stop</t>
        </is>
      </c>
      <c r="D99" s="5" t="inlineStr">
        <is>
          <t>EA</t>
        </is>
      </c>
      <c r="E99" s="7" t="n">
        <v>3</v>
      </c>
      <c r="F99" s="8" t="inlineStr"/>
      <c r="G99" s="8" t="inlineStr"/>
      <c r="H99" s="9" t="n">
        <v>93</v>
      </c>
      <c r="I99" s="11" t="inlineStr">
        <is>
          <t>Engineer Review</t>
        </is>
      </c>
      <c r="J99" s="8" t="inlineStr">
        <is>
          <t>Construction Water Service callout boxes, sheets 83, 84, and 86</t>
        </is>
      </c>
      <c r="K99" s="8" t="inlineStr">
        <is>
          <t>One printed curb stop in each construction-water-service callout box; 3 total.</t>
        </is>
      </c>
    </row>
    <row r="100">
      <c r="A100" s="5" t="n">
        <v>91</v>
      </c>
      <c r="B100" s="5" t="inlineStr"/>
      <c r="C100" s="6" t="inlineStr">
        <is>
          <t>Curb Box (CB)</t>
        </is>
      </c>
      <c r="D100" s="5" t="inlineStr">
        <is>
          <t>EA</t>
        </is>
      </c>
      <c r="E100" s="7" t="n">
        <v>2</v>
      </c>
      <c r="F100" s="8" t="inlineStr"/>
      <c r="G100" s="8" t="inlineStr"/>
      <c r="H100" s="9" t="n">
        <v>95</v>
      </c>
      <c r="I100" s="11" t="inlineStr">
        <is>
          <t>Engineer Review</t>
        </is>
      </c>
      <c r="J100" s="8" t="inlineStr">
        <is>
          <t>p90 lower section INSTALL CB #1; p93 upper section INSTALL CB #2</t>
        </is>
      </c>
      <c r="K100" s="8" t="inlineStr">
        <is>
          <t>Count of visible proposed callouts labeled "INSTALL CB": 1 + 1 = 2 Each.</t>
        </is>
      </c>
    </row>
    <row r="101">
      <c r="A101" s="3" t="inlineStr">
        <is>
          <t>Storm Sewer</t>
        </is>
      </c>
      <c r="B101" s="4" t="n"/>
      <c r="C101" s="4" t="n"/>
      <c r="D101" s="4" t="n"/>
      <c r="E101" s="4" t="n"/>
      <c r="F101" s="4" t="n"/>
      <c r="G101" s="4" t="n"/>
      <c r="H101" s="4" t="n"/>
      <c r="I101" s="4" t="n"/>
      <c r="J101" s="4" t="n"/>
      <c r="K101" s="4" t="n"/>
    </row>
    <row r="102">
      <c r="A102" s="5" t="n">
        <v>92</v>
      </c>
      <c r="B102" s="5" t="inlineStr"/>
      <c r="C102" s="6" t="inlineStr">
        <is>
          <t>6 inch PVC Storm Drain Pipe</t>
        </is>
      </c>
      <c r="D102" s="5" t="inlineStr">
        <is>
          <t>LF</t>
        </is>
      </c>
      <c r="E102" s="7" t="n">
        <v>20</v>
      </c>
      <c r="F102" s="8" t="inlineStr"/>
      <c r="G102" s="8" t="inlineStr"/>
      <c r="H102" s="9" t="n">
        <v>99</v>
      </c>
      <c r="I102" s="10" t="inlineStr">
        <is>
          <t>Verified</t>
        </is>
      </c>
      <c r="J102" s="8" t="inlineStr">
        <is>
          <t>Table of Storm Drainage Pipe Quantities - Totals</t>
        </is>
      </c>
      <c r="K102" s="8" t="inlineStr">
        <is>
          <t>Extracted table total.</t>
        </is>
      </c>
    </row>
    <row r="103">
      <c r="A103" s="5" t="n">
        <v>93</v>
      </c>
      <c r="B103" s="5" t="inlineStr"/>
      <c r="C103" s="6" t="inlineStr">
        <is>
          <t>24 inch RCP Storm Sewer</t>
        </is>
      </c>
      <c r="D103" s="5" t="inlineStr">
        <is>
          <t>LF</t>
        </is>
      </c>
      <c r="E103" s="7" t="n">
        <v>1920</v>
      </c>
      <c r="F103" s="8" t="inlineStr"/>
      <c r="G103" s="8" t="inlineStr"/>
      <c r="H103" s="9" t="n">
        <v>99</v>
      </c>
      <c r="I103" s="10" t="inlineStr">
        <is>
          <t>Verified</t>
        </is>
      </c>
      <c r="J103" s="8" t="inlineStr">
        <is>
          <t>Table of Storm Drainage Pipe Quantities - Totals</t>
        </is>
      </c>
      <c r="K103" s="8" t="inlineStr">
        <is>
          <t>Extracted table total.</t>
        </is>
      </c>
    </row>
    <row r="104">
      <c r="A104" s="5" t="n">
        <v>94</v>
      </c>
      <c r="B104" s="5" t="inlineStr"/>
      <c r="C104" s="6" t="inlineStr">
        <is>
          <t>48 inch RCAP Storm Sewer</t>
        </is>
      </c>
      <c r="D104" s="5" t="inlineStr">
        <is>
          <t>LF</t>
        </is>
      </c>
      <c r="E104" s="7" t="n">
        <v>384</v>
      </c>
      <c r="F104" s="8" t="inlineStr"/>
      <c r="G104" s="8" t="inlineStr"/>
      <c r="H104" s="9" t="n">
        <v>99</v>
      </c>
      <c r="I104" s="10" t="inlineStr">
        <is>
          <t>Verified</t>
        </is>
      </c>
      <c r="J104" s="8" t="inlineStr">
        <is>
          <t>Table of Storm Drainage Pipe Quantities - Totals</t>
        </is>
      </c>
      <c r="K104" s="8" t="inlineStr">
        <is>
          <t>Extracted table total.</t>
        </is>
      </c>
    </row>
    <row r="105">
      <c r="A105" s="5" t="n">
        <v>95</v>
      </c>
      <c r="B105" s="5" t="inlineStr"/>
      <c r="C105" s="6" t="inlineStr">
        <is>
          <t>18 inch RCP Flared End Section</t>
        </is>
      </c>
      <c r="D105" s="5" t="inlineStr">
        <is>
          <t>EA</t>
        </is>
      </c>
      <c r="E105" s="7" t="n">
        <v>3</v>
      </c>
      <c r="F105" s="8" t="inlineStr"/>
      <c r="G105" s="8" t="inlineStr"/>
      <c r="H105" s="9" t="n">
        <v>99</v>
      </c>
      <c r="I105" s="10" t="inlineStr">
        <is>
          <t>Verified</t>
        </is>
      </c>
      <c r="J105" s="8" t="inlineStr">
        <is>
          <t>Table of Storm Drainage Pipe Quantities - Totals</t>
        </is>
      </c>
      <c r="K105" s="8" t="inlineStr">
        <is>
          <t>Extracted table total.</t>
        </is>
      </c>
    </row>
    <row r="106">
      <c r="A106" s="5" t="n">
        <v>96</v>
      </c>
      <c r="B106" s="5" t="inlineStr"/>
      <c r="C106" s="6" t="inlineStr">
        <is>
          <t>48 inch RCAP Flared End Section</t>
        </is>
      </c>
      <c r="D106" s="5" t="inlineStr">
        <is>
          <t>EA</t>
        </is>
      </c>
      <c r="E106" s="7" t="n">
        <v>6</v>
      </c>
      <c r="F106" s="8" t="inlineStr"/>
      <c r="G106" s="8" t="inlineStr"/>
      <c r="H106" s="9" t="n">
        <v>99</v>
      </c>
      <c r="I106" s="10" t="inlineStr">
        <is>
          <t>Verified</t>
        </is>
      </c>
      <c r="J106" s="8" t="inlineStr">
        <is>
          <t>Table of Storm Drainage Pipe Quantities - Totals</t>
        </is>
      </c>
      <c r="K106" s="8" t="inlineStr">
        <is>
          <t>Extracted table total.</t>
        </is>
      </c>
    </row>
    <row r="107">
      <c r="A107" s="5" t="n">
        <v>97</v>
      </c>
      <c r="B107" s="5" t="inlineStr"/>
      <c r="C107" s="6" t="inlineStr">
        <is>
          <t>Reset Pipe End Section</t>
        </is>
      </c>
      <c r="D107" s="5" t="inlineStr">
        <is>
          <t>EA</t>
        </is>
      </c>
      <c r="E107" s="7" t="n">
        <v>2</v>
      </c>
      <c r="F107" s="8" t="inlineStr"/>
      <c r="G107" s="8" t="inlineStr"/>
      <c r="H107" s="9" t="n">
        <v>99</v>
      </c>
      <c r="I107" s="10" t="inlineStr">
        <is>
          <t>Verified</t>
        </is>
      </c>
      <c r="J107" s="8" t="inlineStr">
        <is>
          <t>Table of Storm Drainage Pipe Quantities - Totals</t>
        </is>
      </c>
      <c r="K107" s="8" t="inlineStr">
        <is>
          <t>Extracted table total.</t>
        </is>
      </c>
    </row>
    <row r="108">
      <c r="A108" s="5" t="n">
        <v>98</v>
      </c>
      <c r="B108" s="5" t="inlineStr"/>
      <c r="C108" s="6" t="inlineStr">
        <is>
          <t>4 foot x 4 foot Junction Box</t>
        </is>
      </c>
      <c r="D108" s="5" t="inlineStr">
        <is>
          <t>EA</t>
        </is>
      </c>
      <c r="E108" s="7" t="n">
        <v>9</v>
      </c>
      <c r="F108" s="8" t="inlineStr"/>
      <c r="G108" s="8" t="inlineStr"/>
      <c r="H108" s="9" t="n">
        <v>98</v>
      </c>
      <c r="I108" s="10" t="inlineStr">
        <is>
          <t>Verified</t>
        </is>
      </c>
      <c r="J108" s="8" t="inlineStr">
        <is>
          <t>Table of Storm Sewer Drop Inlets and Junction Boxes; JB#1 through JB#9</t>
        </is>
      </c>
      <c r="K108" s="8" t="inlineStr">
        <is>
          <t>Counted nine 4 foot x 4 foot junction-box rows, JB#1 through JB#9.</t>
        </is>
      </c>
    </row>
    <row r="109">
      <c r="A109" s="5" t="n">
        <v>99</v>
      </c>
      <c r="B109" s="5" t="inlineStr"/>
      <c r="C109" s="6" t="inlineStr">
        <is>
          <t>2 foot x 5.7 foot SF Type B Drop Inlet</t>
        </is>
      </c>
      <c r="D109" s="5" t="inlineStr">
        <is>
          <t>EA</t>
        </is>
      </c>
      <c r="E109" s="7" t="n">
        <v>20</v>
      </c>
      <c r="F109" s="8" t="inlineStr"/>
      <c r="G109" s="8" t="inlineStr"/>
      <c r="H109" s="9" t="n">
        <v>95</v>
      </c>
      <c r="I109" s="11" t="inlineStr">
        <is>
          <t>Engineer Review</t>
        </is>
      </c>
      <c r="J109" s="8" t="inlineStr">
        <is>
          <t>Table of Storm Sewer Drop Inlets and Junction Boxes - Type B L and R Frame totals</t>
        </is>
      </c>
      <c r="K109" s="8" t="inlineStr">
        <is>
          <t>Extracted Type B left-frame total 20 and Type B right-frame total 20; each inlet requires one left and one right frame.</t>
        </is>
      </c>
    </row>
    <row r="110">
      <c r="A110" s="5" t="n">
        <v>100</v>
      </c>
      <c r="B110" s="5" t="inlineStr"/>
      <c r="C110" s="6" t="inlineStr">
        <is>
          <t>Type SP 3 foot x 10 foot Drop Inlet</t>
        </is>
      </c>
      <c r="D110" s="5" t="inlineStr">
        <is>
          <t>EA</t>
        </is>
      </c>
      <c r="E110" s="7" t="n">
        <v>2</v>
      </c>
      <c r="F110" s="8" t="inlineStr"/>
      <c r="G110" s="8" t="inlineStr"/>
      <c r="H110" s="9" t="n">
        <v>98</v>
      </c>
      <c r="I110" s="10" t="inlineStr">
        <is>
          <t>Verified</t>
        </is>
      </c>
      <c r="J110" s="8" t="inlineStr">
        <is>
          <t>Table of Storm Sewer Drop Inlets and Junction Boxes; DI#11 and DI#12</t>
        </is>
      </c>
      <c r="K110" s="8" t="inlineStr">
        <is>
          <t>Counted DI#11 and DI#12 Type SP 3 foot x 10 foot drop inlet rows.</t>
        </is>
      </c>
    </row>
    <row r="111">
      <c r="A111" s="5" t="n">
        <v>101</v>
      </c>
      <c r="B111" s="5" t="inlineStr"/>
      <c r="C111" s="6" t="inlineStr">
        <is>
          <t>2 foot x 2 foot Catch Basin</t>
        </is>
      </c>
      <c r="D111" s="5" t="inlineStr">
        <is>
          <t>EA</t>
        </is>
      </c>
      <c r="E111" s="7" t="n">
        <v>2</v>
      </c>
      <c r="F111" s="8" t="inlineStr"/>
      <c r="G111" s="8" t="inlineStr"/>
      <c r="H111" s="9" t="n">
        <v>98</v>
      </c>
      <c r="I111" s="10" t="inlineStr">
        <is>
          <t>Verified</t>
        </is>
      </c>
      <c r="J111" s="8" t="inlineStr">
        <is>
          <t>Table of Storm Sewer Drop Inlets and Junction Boxes; CB#1 and CB#2</t>
        </is>
      </c>
      <c r="K111" s="8" t="inlineStr">
        <is>
          <t>Counted two catch-basin rows.</t>
        </is>
      </c>
    </row>
    <row r="112">
      <c r="A112" s="5" t="n">
        <v>102</v>
      </c>
      <c r="B112" s="5" t="inlineStr"/>
      <c r="C112" s="6" t="inlineStr">
        <is>
          <t>Underdrain per Detail 680.01</t>
        </is>
      </c>
      <c r="D112" s="5" t="inlineStr">
        <is>
          <t>LF</t>
        </is>
      </c>
      <c r="E112" s="7" t="n">
        <v>6162.22</v>
      </c>
      <c r="F112" s="8" t="inlineStr"/>
      <c r="G112" s="8" t="inlineStr"/>
      <c r="H112" s="9" t="n">
        <v>93</v>
      </c>
      <c r="I112" s="11" t="inlineStr">
        <is>
          <t>Engineer Review</t>
        </is>
      </c>
      <c r="J112" s="8" t="inlineStr">
        <is>
          <t>C1-C8 typical sections repeatedly call out 'UNDERDRAIN PER DETAIL 680.01' at the outside pavement/curb edges.</t>
        </is>
      </c>
      <c r="K112" s="8" t="inlineStr">
        <is>
          <t>3,081.11 Ft alignment reach x 2 outside underdrain runs = 6,162.22 Ft. Does not include any localized median underdrains or drainage connections that may occur in plan view.</t>
        </is>
      </c>
    </row>
    <row r="113">
      <c r="A113" s="5" t="n">
        <v>103</v>
      </c>
      <c r="B113" s="5" t="inlineStr"/>
      <c r="C113" s="6" t="inlineStr">
        <is>
          <t>Parcel 10 - Permanent Storm and Drainage Easement</t>
        </is>
      </c>
      <c r="D113" s="5" t="inlineStr">
        <is>
          <t>SF</t>
        </is>
      </c>
      <c r="E113" s="7" t="n">
        <v>400</v>
      </c>
      <c r="F113" s="8" t="inlineStr"/>
      <c r="G113" s="8" t="inlineStr"/>
      <c r="H113" s="9" t="n">
        <v>96</v>
      </c>
      <c r="I113" s="11" t="inlineStr">
        <is>
          <t>Engineer Review</t>
        </is>
      </c>
      <c r="J113" s="8" t="inlineStr">
        <is>
          <t>E2 Table of Right of Way and Easements; Parcel 10, Sta. 76+38.50 to 76+58.50 RT</t>
        </is>
      </c>
      <c r="K113" s="8" t="inlineStr">
        <is>
          <t>Extracted from Area Req. Sq. Ft. schedule cell.</t>
        </is>
      </c>
    </row>
    <row r="114">
      <c r="A114" s="5" t="n">
        <v>104</v>
      </c>
      <c r="B114" s="5" t="inlineStr"/>
      <c r="C114" s="6" t="inlineStr">
        <is>
          <t>Parcel 24 - Drainage Pond Parcel</t>
        </is>
      </c>
      <c r="D114" s="5" t="inlineStr">
        <is>
          <t>SF</t>
        </is>
      </c>
      <c r="E114" s="7" t="n">
        <v>165051</v>
      </c>
      <c r="F114" s="8" t="inlineStr"/>
      <c r="G114" s="8" t="inlineStr"/>
      <c r="H114" s="9" t="n">
        <v>96</v>
      </c>
      <c r="I114" s="11" t="inlineStr">
        <is>
          <t>Engineer Review</t>
        </is>
      </c>
      <c r="J114" s="8" t="inlineStr">
        <is>
          <t>E5 Table of Right of Way and Easements; Parcel 24, Sta. 99+13.44 to 102+57.92 LT</t>
        </is>
      </c>
      <c r="K114" s="8" t="inlineStr">
        <is>
          <t>Extracted from Area Req. Sq. Ft. schedule cell. This is acquisition parcel area; it is not a pond excavation, lining, or storage-volume quantity.</t>
        </is>
      </c>
    </row>
    <row r="115">
      <c r="A115" s="5" t="n">
        <v>105</v>
      </c>
      <c r="B115" s="5" t="inlineStr"/>
      <c r="C115" s="6" t="inlineStr">
        <is>
          <t>Permanent Drainage Easement / Drainage Pond</t>
        </is>
      </c>
      <c r="D115" s="5" t="inlineStr">
        <is>
          <t>SF</t>
        </is>
      </c>
      <c r="E115" s="7" t="n">
        <v>165051</v>
      </c>
      <c r="F115" s="8" t="inlineStr"/>
      <c r="G115" s="8" t="inlineStr"/>
      <c r="H115" s="9" t="n">
        <v>98</v>
      </c>
      <c r="I115" s="10" t="inlineStr">
        <is>
          <t>Verified</t>
        </is>
      </c>
      <c r="J115" s="8" t="inlineStr">
        <is>
          <t>Sheet E6, Table of Right of Way and Easements, Parcel 24, station 99+13.44 to 102+57.92 LT</t>
        </is>
      </c>
      <c r="K115" s="8" t="inlineStr">
        <is>
          <t>Extracted from table cell: Purpose = DRAINAGE POND; Area Req. Sq. Ft. = 165,051 SF.</t>
        </is>
      </c>
    </row>
    <row r="116">
      <c r="A116" s="5" t="n">
        <v>106</v>
      </c>
      <c r="B116" s="5" t="inlineStr"/>
      <c r="C116" s="6" t="inlineStr">
        <is>
          <t>24 in RCP Class 3, F&amp;T</t>
        </is>
      </c>
      <c r="D116" s="5" t="inlineStr">
        <is>
          <t>LF</t>
        </is>
      </c>
      <c r="E116" s="7" t="n">
        <v>297</v>
      </c>
      <c r="F116" s="8" t="inlineStr"/>
      <c r="G116" s="8" t="inlineStr"/>
      <c r="H116" s="9" t="n">
        <v>95</v>
      </c>
      <c r="I116" s="11" t="inlineStr">
        <is>
          <t>Engineer Review</t>
        </is>
      </c>
      <c r="J116" s="8" t="inlineStr">
        <is>
          <t>Sheet I1 STA 68+00.00-68+02.80 RT = 5 LF; Sheet I2 STA 70+00.00-75+00.00 = 292 LF.</t>
        </is>
      </c>
      <c r="K116" s="8" t="inlineStr">
        <is>
          <t>5 + 292 = 297 Ft.</t>
        </is>
      </c>
    </row>
    <row r="117">
      <c r="A117" s="5" t="n">
        <v>107</v>
      </c>
      <c r="B117" s="5" t="inlineStr"/>
      <c r="C117" s="6" t="inlineStr">
        <is>
          <t>6 in. Slotted Corrugated Polyethylene Drainage Tubing</t>
        </is>
      </c>
      <c r="D117" s="5" t="inlineStr">
        <is>
          <t>LF</t>
        </is>
      </c>
      <c r="E117" s="7" t="n">
        <v>7195</v>
      </c>
      <c r="F117" s="8" t="inlineStr"/>
      <c r="G117" s="8" t="inlineStr"/>
      <c r="H117" s="9" t="n">
        <v>95</v>
      </c>
      <c r="I117" s="11" t="inlineStr">
        <is>
          <t>Engineer Review</t>
        </is>
      </c>
      <c r="J117" s="8" t="inlineStr">
        <is>
          <t>Sheets I3-I8 storm sewer quantity callouts</t>
        </is>
      </c>
      <c r="K117" s="8" t="inlineStr">
        <is>
          <t>Sum of printed callouts: 1,350 + 1,085 + 1,356 + 1,088 + 1,260 + 1,056 LF.</t>
        </is>
      </c>
    </row>
    <row r="118">
      <c r="A118" s="5" t="n">
        <v>108</v>
      </c>
      <c r="B118" s="5" t="inlineStr"/>
      <c r="C118" s="6" t="inlineStr">
        <is>
          <t>Storm Sewer Trench Excavation - 18 in RCP</t>
        </is>
      </c>
      <c r="D118" s="5" t="inlineStr">
        <is>
          <t>CY</t>
        </is>
      </c>
      <c r="E118" s="7" t="n">
        <v>199</v>
      </c>
      <c r="F118" s="8" t="inlineStr"/>
      <c r="G118" s="8" t="inlineStr"/>
      <c r="H118" s="9" t="n">
        <v>93</v>
      </c>
      <c r="I118" s="11" t="inlineStr">
        <is>
          <t>Engineer Review</t>
        </is>
      </c>
      <c r="J118" s="8" t="inlineStr">
        <is>
          <t>Derived from 279 Ft of 18 in RCP installation shown in sheet I1/I2 callouts.</t>
        </is>
      </c>
      <c r="K118" s="8" t="inlineStr">
        <is>
          <t>Assumed 18 in pipe OD = 1.5 Ft; assumed cover = 4 Ft; assumed trench width = OD + 2 Ft = 3.5 Ft; excavation depth = cover + OD = 5.5 Ft. 279 Ft x 3.5 Ft x 5.5 Ft / 27 = 198.9 CuYd, rounded to 199 CuYd.</t>
        </is>
      </c>
    </row>
    <row r="119">
      <c r="A119" s="5" t="n">
        <v>109</v>
      </c>
      <c r="B119" s="5" t="inlineStr"/>
      <c r="C119" s="6" t="inlineStr">
        <is>
          <t>Storm Sewer Trench Excavation - 24 in RCP</t>
        </is>
      </c>
      <c r="D119" s="5" t="inlineStr">
        <is>
          <t>CY</t>
        </is>
      </c>
      <c r="E119" s="7" t="n">
        <v>264</v>
      </c>
      <c r="F119" s="8" t="inlineStr"/>
      <c r="G119" s="8" t="inlineStr"/>
      <c r="H119" s="9" t="n">
        <v>93</v>
      </c>
      <c r="I119" s="11" t="inlineStr">
        <is>
          <t>Engineer Review</t>
        </is>
      </c>
      <c r="J119" s="8" t="inlineStr">
        <is>
          <t>Derived from 297 Ft of 24 in RCP installation shown in sheet I1/I2 callouts.</t>
        </is>
      </c>
      <c r="K119" s="8" t="inlineStr">
        <is>
          <t>Assumed 24 in pipe OD = 2.0 Ft; assumed cover = 4 Ft; assumed trench width = OD + 2 Ft = 4.0 Ft; excavation depth = cover + OD = 6.0 Ft. 297 Ft x 4.0 Ft x 6.0 Ft / 27 = 264.0 CuYd.</t>
        </is>
      </c>
    </row>
    <row r="120">
      <c r="A120" s="5" t="n">
        <v>110</v>
      </c>
      <c r="B120" s="5" t="inlineStr"/>
      <c r="C120" s="6" t="inlineStr">
        <is>
          <t>Storm Sewer Trench Excavation - 30 in RCP</t>
        </is>
      </c>
      <c r="D120" s="5" t="inlineStr">
        <is>
          <t>CY</t>
        </is>
      </c>
      <c r="E120" s="7" t="n">
        <v>206</v>
      </c>
      <c r="F120" s="8" t="inlineStr"/>
      <c r="G120" s="8" t="inlineStr"/>
      <c r="H120" s="9" t="n">
        <v>93</v>
      </c>
      <c r="I120" s="11" t="inlineStr">
        <is>
          <t>Engineer Review</t>
        </is>
      </c>
      <c r="J120" s="8" t="inlineStr">
        <is>
          <t>Derived from 190 Ft of 30 in RCP installation shown in sheet I1 callout.</t>
        </is>
      </c>
      <c r="K120" s="8" t="inlineStr">
        <is>
          <t>Assumed 30 in pipe OD = 2.5 Ft; assumed cover = 4 Ft; assumed trench width = OD + 2 Ft = 4.5 Ft; excavation depth = cover + OD = 6.5 Ft. 190 Ft x 4.5 Ft x 6.5 Ft / 27 = 205.8 CuYd, rounded to 206 CuYd.</t>
        </is>
      </c>
    </row>
    <row r="121">
      <c r="A121" s="5" t="n">
        <v>111</v>
      </c>
      <c r="B121" s="5" t="inlineStr"/>
      <c r="C121" s="6" t="inlineStr">
        <is>
          <t>Drain Tile Trench Excavation - 6 in Slotted Corrugated Polyethylene Tubing</t>
        </is>
      </c>
      <c r="D121" s="5" t="inlineStr">
        <is>
          <t>CY</t>
        </is>
      </c>
      <c r="E121" s="7" t="n">
        <v>991</v>
      </c>
      <c r="F121" s="8" t="inlineStr"/>
      <c r="G121" s="8" t="inlineStr"/>
      <c r="H121" s="9" t="n">
        <v>93</v>
      </c>
      <c r="I121" s="11" t="inlineStr">
        <is>
          <t>Engineer Review</t>
        </is>
      </c>
      <c r="J121" s="8" t="inlineStr">
        <is>
          <t>Derived from 2,378 Ft of 6 in slotted corrugated polyethylene drainage tubing shown in sheets I1 and I2 callouts.</t>
        </is>
      </c>
      <c r="K121" s="8" t="inlineStr">
        <is>
          <t>Assumed 6 in tubing OD = 0.5 Ft; assumed cover = 4 Ft; trench width governed by 2.5 Ft minimum; excavation depth = 4.0 + 0.5 = 4.5 Ft. 2,378 Ft x 2.5 Ft x 4.5 Ft / 27 = 990.8 CuYd, rounded to 991 CuYd.</t>
        </is>
      </c>
    </row>
    <row r="122">
      <c r="A122" s="5" t="n">
        <v>112</v>
      </c>
      <c r="B122" s="5" t="inlineStr"/>
      <c r="C122" s="6" t="inlineStr">
        <is>
          <t>Storm Sewer Pipe Bedding</t>
        </is>
      </c>
      <c r="D122" s="5" t="inlineStr">
        <is>
          <t>CY</t>
        </is>
      </c>
      <c r="E122" s="7" t="n">
        <v>166</v>
      </c>
      <c r="F122" s="8" t="inlineStr"/>
      <c r="G122" s="8" t="inlineStr"/>
      <c r="H122" s="9" t="n">
        <v>93</v>
      </c>
      <c r="I122" s="11" t="inlineStr">
        <is>
          <t>Engineer Review</t>
        </is>
      </c>
      <c r="J122" s="8" t="inlineStr">
        <is>
          <t>Supplemental bedding takeoff for RCP and drain tile quantities printed on sheets I1 and I2.</t>
        </is>
      </c>
      <c r="K122" s="8" t="inlineStr">
        <is>
          <t>Assumed 6 in (0.5 Ft) bedding thickness. 18 in RCP: 279 x 3.5 x 0.5 / 27 = 18.1 CY; 24 in RCP: 297 x 4.0 x 0.5 / 27 = 22.0 CY; 30 in RCP: 190 x 4.5 x 0.5 / 27 = 15.8 CY; 6 in drain tile: 2,378 x 2.5 x 0.5 / 27 = 110.1 CY. Total = 166.0 CuYd.</t>
        </is>
      </c>
    </row>
    <row r="123">
      <c r="A123" s="5" t="n">
        <v>113</v>
      </c>
      <c r="B123" s="5" t="inlineStr"/>
      <c r="C123" s="6" t="inlineStr">
        <is>
          <t>Type B Frame and Grate Assembly - Left Flange</t>
        </is>
      </c>
      <c r="D123" s="5" t="inlineStr">
        <is>
          <t>EA</t>
        </is>
      </c>
      <c r="E123" s="7" t="n">
        <v>2</v>
      </c>
      <c r="F123" s="8" t="inlineStr"/>
      <c r="G123" s="8" t="inlineStr"/>
      <c r="H123" s="9" t="n">
        <v>95</v>
      </c>
      <c r="I123" s="11" t="inlineStr">
        <is>
          <t>Engineer Review</t>
        </is>
      </c>
      <c r="J123" s="8" t="inlineStr">
        <is>
          <t>Sheet I1 DI #2 left-flange assembly callout; Sheet I2 DI #3 left-flange assembly callout.</t>
        </is>
      </c>
      <c r="K123" s="8" t="inlineStr">
        <is>
          <t>1 + 1 = 2 Each.</t>
        </is>
      </c>
    </row>
    <row r="124">
      <c r="A124" s="5" t="n">
        <v>114</v>
      </c>
      <c r="B124" s="5" t="inlineStr"/>
      <c r="C124" s="6" t="inlineStr">
        <is>
          <t>Type B Frame and Grate Assembly - Right Flange</t>
        </is>
      </c>
      <c r="D124" s="5" t="inlineStr">
        <is>
          <t>EA</t>
        </is>
      </c>
      <c r="E124" s="7" t="n">
        <v>2</v>
      </c>
      <c r="F124" s="8" t="inlineStr"/>
      <c r="G124" s="8" t="inlineStr"/>
      <c r="H124" s="9" t="n">
        <v>95</v>
      </c>
      <c r="I124" s="11" t="inlineStr">
        <is>
          <t>Engineer Review</t>
        </is>
      </c>
      <c r="J124" s="8" t="inlineStr">
        <is>
          <t>Sheet I1 DI #2 right-flange assembly callout; Sheet I2 DI #4 right-flange assembly callout.</t>
        </is>
      </c>
      <c r="K124" s="8" t="inlineStr">
        <is>
          <t>1 + 1 = 2 Each.</t>
        </is>
      </c>
    </row>
    <row r="125">
      <c r="A125" s="5" t="n">
        <v>115</v>
      </c>
      <c r="B125" s="5" t="inlineStr"/>
      <c r="C125" s="6" t="inlineStr">
        <is>
          <t>Type 1 Frame and Cover</t>
        </is>
      </c>
      <c r="D125" s="5" t="inlineStr">
        <is>
          <t>EA</t>
        </is>
      </c>
      <c r="E125" s="7" t="n">
        <v>1</v>
      </c>
      <c r="F125" s="8" t="inlineStr"/>
      <c r="G125" s="8" t="inlineStr"/>
      <c r="H125" s="9" t="n">
        <v>95</v>
      </c>
      <c r="I125" s="11" t="inlineStr">
        <is>
          <t>Engineer Review</t>
        </is>
      </c>
      <c r="J125" s="8" t="inlineStr">
        <is>
          <t>Sheet I2, DI #5 Type 1 Junction Box installation callout.</t>
        </is>
      </c>
      <c r="K125" s="8" t="inlineStr">
        <is>
          <t>Extracted from printed callout.</t>
        </is>
      </c>
    </row>
    <row r="126">
      <c r="A126" s="5" t="n">
        <v>116</v>
      </c>
      <c r="B126" s="5" t="inlineStr"/>
      <c r="C126" s="6" t="inlineStr">
        <is>
          <t>Type 1 Junction Box</t>
        </is>
      </c>
      <c r="D126" s="5" t="inlineStr">
        <is>
          <t>EA</t>
        </is>
      </c>
      <c r="E126" s="7" t="n">
        <v>1</v>
      </c>
      <c r="F126" s="8" t="inlineStr"/>
      <c r="G126" s="8" t="inlineStr"/>
      <c r="H126" s="9" t="n">
        <v>95</v>
      </c>
      <c r="I126" s="11" t="inlineStr">
        <is>
          <t>Engineer Review</t>
        </is>
      </c>
      <c r="J126" s="8" t="inlineStr">
        <is>
          <t>Sheet I2, DI #5 installation callout at STA 72+05.66-33.50 LT.</t>
        </is>
      </c>
      <c r="K126" s="8" t="inlineStr">
        <is>
          <t>Extracted from printed callout.</t>
        </is>
      </c>
    </row>
    <row r="127">
      <c r="A127" s="5" t="n">
        <v>117</v>
      </c>
      <c r="B127" s="5" t="inlineStr"/>
      <c r="C127" s="6" t="inlineStr">
        <is>
          <t>Class M6 Concrete</t>
        </is>
      </c>
      <c r="D127" s="5" t="inlineStr">
        <is>
          <t>CY</t>
        </is>
      </c>
      <c r="E127" s="7" t="n">
        <v>7.83</v>
      </c>
      <c r="F127" s="8" t="inlineStr"/>
      <c r="G127" s="8" t="inlineStr"/>
      <c r="H127" s="9" t="n">
        <v>95</v>
      </c>
      <c r="I127" s="11" t="inlineStr">
        <is>
          <t>Engineer Review</t>
        </is>
      </c>
      <c r="J127" s="8" t="inlineStr">
        <is>
          <t>Sheet I1 DI #2 callouts = 1.53 CY and 1.67 CY; Sheet I2 DI #3 = 1.55 CY, DI #4 = 1.55 CY, and DI #5 = 1.53 CY.</t>
        </is>
      </c>
      <c r="K127" s="8" t="inlineStr">
        <is>
          <t>1.53 + 1.67 + 1.55 + 1.55 + 1.53 = 7.83 CuYd.</t>
        </is>
      </c>
    </row>
    <row r="128">
      <c r="A128" s="5" t="n">
        <v>118</v>
      </c>
      <c r="B128" s="5" t="inlineStr"/>
      <c r="C128" s="6" t="inlineStr">
        <is>
          <t>Reinforcing Steel</t>
        </is>
      </c>
      <c r="D128" s="5" t="inlineStr">
        <is>
          <t>LB</t>
        </is>
      </c>
      <c r="E128" s="7" t="n">
        <v>1993</v>
      </c>
      <c r="F128" s="8" t="inlineStr"/>
      <c r="G128" s="8" t="inlineStr"/>
      <c r="H128" s="9" t="n">
        <v>95</v>
      </c>
      <c r="I128" s="11" t="inlineStr">
        <is>
          <t>Engineer Review</t>
        </is>
      </c>
      <c r="J128" s="8" t="inlineStr">
        <is>
          <t>Sheet I1 DI #2 callouts = 430 LB and 468 LB; Sheet I2 DI #3 = 434 LB, DI #4 = 434 LB, and DI #5 = 227 LB.</t>
        </is>
      </c>
      <c r="K128" s="8" t="inlineStr">
        <is>
          <t>430 + 468 + 434 + 434 + 227 = 1,993 Lb.</t>
        </is>
      </c>
    </row>
    <row r="129">
      <c r="A129" s="5" t="n">
        <v>119</v>
      </c>
      <c r="B129" s="5" t="inlineStr"/>
      <c r="C129" s="6" t="inlineStr">
        <is>
          <t>24 in. RCP, Class 3, Furnish and Install</t>
        </is>
      </c>
      <c r="D129" s="5" t="inlineStr">
        <is>
          <t>LF</t>
        </is>
      </c>
      <c r="E129" s="7" t="n">
        <v>1228</v>
      </c>
      <c r="F129" s="8" t="inlineStr"/>
      <c r="G129" s="8" t="inlineStr"/>
      <c r="H129" s="9" t="n">
        <v>93</v>
      </c>
      <c r="I129" s="11" t="inlineStr">
        <is>
          <t>Engineer Review</t>
        </is>
      </c>
      <c r="J129" s="8" t="inlineStr">
        <is>
          <t>Sheets I3, I4, I5, I6, I8 and I9 storm sewer quantity callouts</t>
        </is>
      </c>
      <c r="K129" s="8" t="inlineStr">
        <is>
          <t>Sum of printed plan callouts: 147 + 49 + 496 + 335 + 161 + 40 LF. Profile segment labels were not added to avoid duplicate counting.</t>
        </is>
      </c>
    </row>
    <row r="130">
      <c r="A130" s="5" t="n">
        <v>120</v>
      </c>
      <c r="B130" s="5" t="inlineStr"/>
      <c r="C130" s="6" t="inlineStr">
        <is>
          <t>48 in. RCP Arch, Class 3, Furnish and Install</t>
        </is>
      </c>
      <c r="D130" s="5" t="inlineStr">
        <is>
          <t>LF</t>
        </is>
      </c>
      <c r="E130" s="7" t="n">
        <v>384</v>
      </c>
      <c r="F130" s="8" t="inlineStr"/>
      <c r="G130" s="8" t="inlineStr"/>
      <c r="H130" s="9" t="n">
        <v>93</v>
      </c>
      <c r="I130" s="11" t="inlineStr">
        <is>
          <t>Engineer Review</t>
        </is>
      </c>
      <c r="J130" s="8" t="inlineStr">
        <is>
          <t>Sheet I8, three 48 in. RCP arch quantity callouts at STA 102+27.69, STA 102+36.52, and STA 102+45.36</t>
        </is>
      </c>
      <c r="K130" s="8" t="inlineStr">
        <is>
          <t>Sum of three printed 128 LF callouts: 128 + 128 + 128 LF.</t>
        </is>
      </c>
    </row>
    <row r="131">
      <c r="A131" s="5" t="n">
        <v>121</v>
      </c>
      <c r="B131" s="5" t="inlineStr"/>
      <c r="C131" s="6" t="inlineStr">
        <is>
          <t>6 in. PVC Storm Sewer Pipe</t>
        </is>
      </c>
      <c r="D131" s="5" t="inlineStr">
        <is>
          <t>LF</t>
        </is>
      </c>
      <c r="E131" s="7" t="n">
        <v>20</v>
      </c>
      <c r="F131" s="8" t="inlineStr"/>
      <c r="G131" s="8" t="inlineStr"/>
      <c r="H131" s="9" t="n">
        <v>95</v>
      </c>
      <c r="I131" s="11" t="inlineStr">
        <is>
          <t>Engineer Review</t>
        </is>
      </c>
      <c r="J131" s="8" t="inlineStr">
        <is>
          <t>Sheet I7, STA 96+90.08-45.61 LT to STA 96+92.42-21.35 RT callout</t>
        </is>
      </c>
      <c r="K131" s="8" t="inlineStr">
        <is>
          <t>Printed quantity: 20 LF 6 in. PVC storm sewer pipe.</t>
        </is>
      </c>
    </row>
    <row r="132">
      <c r="A132" s="5" t="n">
        <v>122</v>
      </c>
      <c r="B132" s="5" t="inlineStr"/>
      <c r="C132" s="6" t="inlineStr">
        <is>
          <t>48 in. RCP Arch Flared End Section</t>
        </is>
      </c>
      <c r="D132" s="5" t="inlineStr">
        <is>
          <t>EA</t>
        </is>
      </c>
      <c r="E132" s="7" t="n">
        <v>6</v>
      </c>
      <c r="F132" s="8" t="inlineStr"/>
      <c r="G132" s="8" t="inlineStr"/>
      <c r="H132" s="9" t="n">
        <v>93</v>
      </c>
      <c r="I132" s="11" t="inlineStr">
        <is>
          <t>Engineer Review</t>
        </is>
      </c>
      <c r="J132" s="8" t="inlineStr">
        <is>
          <t>Sheet I8, three 48 in. RCP arch quantity callouts</t>
        </is>
      </c>
      <c r="K132" s="8" t="inlineStr">
        <is>
          <t>Sum of three printed 2 each flared-end callouts: 2 + 2 + 2 Each.</t>
        </is>
      </c>
    </row>
    <row r="133">
      <c r="A133" s="5" t="n">
        <v>123</v>
      </c>
      <c r="B133" s="5" t="inlineStr"/>
      <c r="C133" s="6" t="inlineStr">
        <is>
          <t>Reset Pipe End Section, 24 in. RCP</t>
        </is>
      </c>
      <c r="D133" s="5" t="inlineStr">
        <is>
          <t>EA</t>
        </is>
      </c>
      <c r="E133" s="7" t="n">
        <v>1</v>
      </c>
      <c r="F133" s="8" t="inlineStr"/>
      <c r="G133" s="8" t="inlineStr"/>
      <c r="H133" s="9" t="n">
        <v>95</v>
      </c>
      <c r="I133" s="11" t="inlineStr">
        <is>
          <t>Engineer Review</t>
        </is>
      </c>
      <c r="J133" s="8" t="inlineStr">
        <is>
          <t>Sheet I8, STA 101+68.77-114.75 LT to STA 102+17.69-51.93 RT callout</t>
        </is>
      </c>
      <c r="K133" s="8" t="inlineStr">
        <is>
          <t>Printed quantity: 1 each reset pipe end section (24 in. RCP).</t>
        </is>
      </c>
    </row>
    <row r="134">
      <c r="A134" s="5" t="n">
        <v>124</v>
      </c>
      <c r="B134" s="5" t="inlineStr"/>
      <c r="C134" s="6" t="inlineStr">
        <is>
          <t>Reset Pipe End Section, 18 in. RCP</t>
        </is>
      </c>
      <c r="D134" s="5" t="inlineStr">
        <is>
          <t>EA</t>
        </is>
      </c>
      <c r="E134" s="7" t="n">
        <v>1</v>
      </c>
      <c r="F134" s="8" t="inlineStr"/>
      <c r="G134" s="8" t="inlineStr"/>
      <c r="H134" s="9" t="n">
        <v>95</v>
      </c>
      <c r="I134" s="11" t="inlineStr">
        <is>
          <t>Engineer Review</t>
        </is>
      </c>
      <c r="J134" s="8" t="inlineStr">
        <is>
          <t>Sheet I8, STA 102+80.56-24.77 RT callout</t>
        </is>
      </c>
      <c r="K134" s="8" t="inlineStr">
        <is>
          <t>Printed quantity: 1 each reset pipe end section (18 in. RCP).</t>
        </is>
      </c>
    </row>
    <row r="135">
      <c r="A135" s="5" t="n">
        <v>125</v>
      </c>
      <c r="B135" s="5" t="inlineStr"/>
      <c r="C135" s="6" t="inlineStr">
        <is>
          <t>Connect to Existing Drain Tile</t>
        </is>
      </c>
      <c r="D135" s="5" t="inlineStr">
        <is>
          <t>EA</t>
        </is>
      </c>
      <c r="E135" s="7" t="n">
        <v>1</v>
      </c>
      <c r="F135" s="8" t="inlineStr"/>
      <c r="G135" s="8" t="inlineStr"/>
      <c r="H135" s="9" t="n">
        <v>95</v>
      </c>
      <c r="I135" s="11" t="inlineStr">
        <is>
          <t>Engineer Review</t>
        </is>
      </c>
      <c r="J135" s="8" t="inlineStr">
        <is>
          <t>Sheet I7, STA 96+90.08-45.61 LT to STA 96+92.42-21.35 RT callout</t>
        </is>
      </c>
      <c r="K135" s="8" t="inlineStr">
        <is>
          <t>Printed quantity: 1 each connect to existing drain tile.</t>
        </is>
      </c>
    </row>
    <row r="136">
      <c r="A136" s="5" t="n">
        <v>126</v>
      </c>
      <c r="B136" s="5" t="inlineStr"/>
      <c r="C136" s="6" t="inlineStr">
        <is>
          <t>Detention Pond Outlet Structure, SFES #1</t>
        </is>
      </c>
      <c r="D136" s="5" t="inlineStr">
        <is>
          <t>EA</t>
        </is>
      </c>
      <c r="E136" s="7" t="n">
        <v>1</v>
      </c>
      <c r="F136" s="8" t="inlineStr"/>
      <c r="G136" s="8" t="inlineStr"/>
      <c r="H136" s="9" t="n">
        <v>95</v>
      </c>
      <c r="I136" s="11" t="inlineStr">
        <is>
          <t>Engineer Review</t>
        </is>
      </c>
      <c r="J136" s="8" t="inlineStr">
        <is>
          <t>Sheet I9, STA 101+68.77-114.75 LT to STA 102+17.69-51.93 RT callout</t>
        </is>
      </c>
      <c r="K136" s="8" t="inlineStr">
        <is>
          <t>Printed quantity: 1 each detention pond outlet structure (SFES #1).</t>
        </is>
      </c>
    </row>
    <row r="137">
      <c r="A137" s="5" t="n">
        <v>127</v>
      </c>
      <c r="B137" s="5" t="inlineStr"/>
      <c r="C137" s="6" t="inlineStr">
        <is>
          <t>Storm Drainage Inlets, Junction Boxes, Catch Basin, and Manholes</t>
        </is>
      </c>
      <c r="D137" s="5" t="inlineStr">
        <is>
          <t>EA</t>
        </is>
      </c>
      <c r="E137" s="7" t="n">
        <v>27</v>
      </c>
      <c r="F137" s="8" t="inlineStr"/>
      <c r="G137" s="8" t="inlineStr"/>
      <c r="H137" s="9" t="n">
        <v>93</v>
      </c>
      <c r="I137" s="11" t="inlineStr">
        <is>
          <t>Engineer Review</t>
        </is>
      </c>
      <c r="J137" s="8" t="inlineStr">
        <is>
          <t>Sheets I3-I8 structure callouts for DI #5 through DI #22, JB #2 through JB #9, and CB structures</t>
        </is>
      </c>
      <c r="K137" s="8" t="inlineStr">
        <is>
          <t>Counted one Each for every printed DI, JB, CB, or manhole installation callout visible: Sheet I3 = 3; I4 = 6; I5 = 3; I6 = 7; I7 = 6; I8 = 2.</t>
        </is>
      </c>
    </row>
    <row r="138">
      <c r="A138" s="5" t="n">
        <v>128</v>
      </c>
      <c r="B138" s="5" t="inlineStr"/>
      <c r="C138" s="6" t="inlineStr">
        <is>
          <t>Class M6 Concrete for Storm Drainage Structures</t>
        </is>
      </c>
      <c r="D138" s="5" t="inlineStr">
        <is>
          <t>CY</t>
        </is>
      </c>
      <c r="E138" s="7" t="n">
        <v>56.46</v>
      </c>
      <c r="F138" s="8" t="inlineStr"/>
      <c r="G138" s="8" t="inlineStr"/>
      <c r="H138" s="9" t="n">
        <v>93</v>
      </c>
      <c r="I138" s="11" t="inlineStr">
        <is>
          <t>Engineer Review</t>
        </is>
      </c>
      <c r="J138" s="8" t="inlineStr">
        <is>
          <t>Sheets I3-I8 individual DI/JB/CB/manhole installation callouts</t>
        </is>
      </c>
      <c r="K138" s="8" t="inlineStr">
        <is>
          <t>Summed printed Class M6 concrete quantities from visible structure callouts. Quantity excludes detention outlet structure SFES #1 because no concrete quantity was printed.</t>
        </is>
      </c>
    </row>
    <row r="139">
      <c r="A139" s="5" t="n">
        <v>129</v>
      </c>
      <c r="B139" s="5" t="inlineStr"/>
      <c r="C139" s="6" t="inlineStr">
        <is>
          <t>Reinforcing Steel for Storm Drainage Structures</t>
        </is>
      </c>
      <c r="D139" s="5" t="inlineStr">
        <is>
          <t>LB</t>
        </is>
      </c>
      <c r="E139" s="7" t="n">
        <v>9919</v>
      </c>
      <c r="F139" s="8" t="inlineStr"/>
      <c r="G139" s="8" t="inlineStr"/>
      <c r="H139" s="9" t="n">
        <v>93</v>
      </c>
      <c r="I139" s="11" t="inlineStr">
        <is>
          <t>Engineer Review</t>
        </is>
      </c>
      <c r="J139" s="8" t="inlineStr">
        <is>
          <t>Sheets I3-I8 individual DI/JB/CB/manhole installation callouts</t>
        </is>
      </c>
      <c r="K139" s="8" t="inlineStr">
        <is>
          <t>Summed printed reinforcing-steel quantities from visible structure callouts. Quantity excludes detention outlet structure SFES #1 because no reinforcing quantity was printed.</t>
        </is>
      </c>
    </row>
    <row r="140">
      <c r="A140" s="5" t="n">
        <v>130</v>
      </c>
      <c r="B140" s="5" t="inlineStr"/>
      <c r="C140" s="6" t="inlineStr">
        <is>
          <t>Storm Sewer Trench Excavation for 24 in RCP</t>
        </is>
      </c>
      <c r="D140" s="5" t="inlineStr">
        <is>
          <t>CY</t>
        </is>
      </c>
      <c r="E140" s="7" t="n">
        <v>311.11</v>
      </c>
      <c r="F140" s="8" t="inlineStr"/>
      <c r="G140" s="8" t="inlineStr"/>
      <c r="H140" s="9" t="n">
        <v>93</v>
      </c>
      <c r="I140" s="11" t="inlineStr">
        <is>
          <t>Engineer Review</t>
        </is>
      </c>
      <c r="J140" s="8" t="inlineStr">
        <is>
          <t>24 in RCP extent shown on M5-M7, STA 72+50 through STA 76+00.</t>
        </is>
      </c>
      <c r="K140" s="8" t="inlineStr">
        <is>
          <t>Derived quantity. Assumptions: 4 Ft cover; nominal 24 in pipe OD = 2.0 Ft; trench width = OD + 2 Ft = 4.0 Ft; excavation depth = cover + OD = 6.0 Ft. Quantity = 4.0 Ft x 6.0 Ft x 350 Ft / 27 = 311.11 CuYd.</t>
        </is>
      </c>
    </row>
    <row r="141">
      <c r="A141" s="5" t="n">
        <v>131</v>
      </c>
      <c r="B141" s="5" t="inlineStr"/>
      <c r="C141" s="6" t="inlineStr">
        <is>
          <t>Storm Sewer Trench Excavation for 18 in. RCP</t>
        </is>
      </c>
      <c r="D141" s="5" t="inlineStr">
        <is>
          <t>CY</t>
        </is>
      </c>
      <c r="E141" s="7" t="n">
        <v>399.86</v>
      </c>
      <c r="F141" s="8" t="inlineStr"/>
      <c r="G141" s="8" t="inlineStr"/>
      <c r="H141" s="9" t="n">
        <v>93</v>
      </c>
      <c r="I141" s="11" t="inlineStr">
        <is>
          <t>Engineer Review</t>
        </is>
      </c>
      <c r="J141" s="8" t="inlineStr">
        <is>
          <t>18 in. RCP quantities on Sheets I3-I9</t>
        </is>
      </c>
      <c r="K141" s="8" t="inlineStr">
        <is>
          <t>561 LF x assumed trench width 3.5 ft [18 in. nominal OD + 2 ft] x assumed excavation depth 5.5 ft [4 ft cover + 1.5 ft pipe] / 27 = 399.86 CY.</t>
        </is>
      </c>
    </row>
    <row r="142">
      <c r="A142" s="5" t="n">
        <v>132</v>
      </c>
      <c r="B142" s="5" t="inlineStr"/>
      <c r="C142" s="6" t="inlineStr">
        <is>
          <t>Storm Sewer Trench Excavation for 30 in RCP</t>
        </is>
      </c>
      <c r="D142" s="5" t="inlineStr">
        <is>
          <t>CY</t>
        </is>
      </c>
      <c r="E142" s="7" t="n">
        <v>270.83</v>
      </c>
      <c r="F142" s="8" t="inlineStr"/>
      <c r="G142" s="8" t="inlineStr"/>
      <c r="H142" s="9" t="n">
        <v>93</v>
      </c>
      <c r="I142" s="11" t="inlineStr">
        <is>
          <t>Engineer Review</t>
        </is>
      </c>
      <c r="J142" s="8" t="inlineStr">
        <is>
          <t>30 in RCP extent shown on M3-M4, STA 69+50 through STA 72+00.</t>
        </is>
      </c>
      <c r="K142" s="8" t="inlineStr">
        <is>
          <t>Derived quantity. Assumptions: 4 Ft cover; nominal 30 in pipe OD = 2.5 Ft; trench width = OD + 2 Ft = 4.5 Ft; excavation depth = cover + OD = 6.5 Ft. Quantity = 4.5 Ft x 6.5 Ft x 250 Ft / 27 = 270.83 CuYd.</t>
        </is>
      </c>
    </row>
    <row r="143">
      <c r="A143" s="5" t="n">
        <v>133</v>
      </c>
      <c r="B143" s="5" t="inlineStr"/>
      <c r="C143" s="6" t="inlineStr">
        <is>
          <t>Storm Sewer Trench Excavation for 36 in. RCP</t>
        </is>
      </c>
      <c r="D143" s="5" t="inlineStr">
        <is>
          <t>CY</t>
        </is>
      </c>
      <c r="E143" s="7" t="n">
        <v>95.93000000000001</v>
      </c>
      <c r="F143" s="8" t="inlineStr"/>
      <c r="G143" s="8" t="inlineStr"/>
      <c r="H143" s="9" t="n">
        <v>93</v>
      </c>
      <c r="I143" s="11" t="inlineStr">
        <is>
          <t>Engineer Review</t>
        </is>
      </c>
      <c r="J143" s="8" t="inlineStr">
        <is>
          <t>Sheet I7, 36 in. RCP callout</t>
        </is>
      </c>
      <c r="K143" s="8" t="inlineStr">
        <is>
          <t>74 LF x assumed trench width 5.0 ft [36 in. nominal OD + 2 ft] x assumed excavation depth 7.0 ft [4 ft cover + 3 ft pipe] / 27 = 95.93 CY.</t>
        </is>
      </c>
    </row>
    <row r="144">
      <c r="A144" s="5" t="n">
        <v>134</v>
      </c>
      <c r="B144" s="5" t="inlineStr"/>
      <c r="C144" s="6" t="inlineStr">
        <is>
          <t>Storm Sewer Trench Excavation for 48 in. RCP Arch</t>
        </is>
      </c>
      <c r="D144" s="5" t="inlineStr">
        <is>
          <t>CY</t>
        </is>
      </c>
      <c r="E144" s="7" t="n">
        <v>682.67</v>
      </c>
      <c r="F144" s="8" t="inlineStr"/>
      <c r="G144" s="8" t="inlineStr"/>
      <c r="H144" s="9" t="n">
        <v>93</v>
      </c>
      <c r="I144" s="11" t="inlineStr">
        <is>
          <t>Engineer Review</t>
        </is>
      </c>
      <c r="J144" s="8" t="inlineStr">
        <is>
          <t>Sheet I8, 48 in. RCP arch callouts</t>
        </is>
      </c>
      <c r="K144" s="8" t="inlineStr">
        <is>
          <t>384 LF x assumed trench width 6.0 ft [48 in. nominal span + 2 ft] x assumed excavation depth 8.0 ft [4 ft cover + 4 ft nominal pipe height] / 27 = 682.67 CY. Actual arch-pipe outside dimensions require verification.</t>
        </is>
      </c>
    </row>
    <row r="145">
      <c r="A145" s="5" t="n">
        <v>135</v>
      </c>
      <c r="B145" s="5" t="inlineStr"/>
      <c r="C145" s="6" t="inlineStr">
        <is>
          <t>Trench Excavation for 6 in. Slotted Corrugated Polyethylene Drainage Tubing</t>
        </is>
      </c>
      <c r="D145" s="5" t="inlineStr">
        <is>
          <t>CY</t>
        </is>
      </c>
      <c r="E145" s="7" t="n">
        <v>2997.92</v>
      </c>
      <c r="F145" s="8" t="inlineStr"/>
      <c r="G145" s="8" t="inlineStr"/>
      <c r="H145" s="9" t="n">
        <v>93</v>
      </c>
      <c r="I145" s="11" t="inlineStr">
        <is>
          <t>Engineer Review</t>
        </is>
      </c>
      <c r="J145" s="8" t="inlineStr">
        <is>
          <t>Sheets I3-I8 slotted corrugated polyethylene drainage tubing callouts</t>
        </is>
      </c>
      <c r="K145" s="8" t="inlineStr">
        <is>
          <t>7,195 LF x assumed minimum trench width 2.5 ft x assumed excavation depth 4.5 ft [4 ft cover + 0.5 ft pipe] / 27 = 2,997.92 CY.</t>
        </is>
      </c>
    </row>
    <row r="146">
      <c r="A146" s="5" t="n">
        <v>136</v>
      </c>
      <c r="B146" s="5" t="inlineStr"/>
      <c r="C146" s="6" t="inlineStr">
        <is>
          <t>18 in. Reinforced Concrete Pipe</t>
        </is>
      </c>
      <c r="D146" s="5" t="inlineStr">
        <is>
          <t>LF</t>
        </is>
      </c>
      <c r="E146" s="7" t="n">
        <v>251</v>
      </c>
      <c r="F146" s="8" t="inlineStr"/>
      <c r="G146" s="8" t="inlineStr"/>
      <c r="H146" s="9" t="n">
        <v>93</v>
      </c>
      <c r="I146" s="11" t="inlineStr">
        <is>
          <t>Engineer Review</t>
        </is>
      </c>
      <c r="J146" s="8" t="inlineStr">
        <is>
          <t>Pipe section sheets 87 and 88</t>
        </is>
      </c>
      <c r="K146" s="8" t="inlineStr">
        <is>
          <t>Summed printed 18 in. RCP segment lengths: 15 + 56 + 16 + 26 + 45 + 27 + 46 + 15 = 246 Ft, plus 5 Ft 18 in. RCP segment indicated at sheet 87 upper section = 251 Ft.</t>
        </is>
      </c>
    </row>
    <row r="147">
      <c r="A147" s="5" t="n">
        <v>137</v>
      </c>
      <c r="B147" s="5" t="inlineStr"/>
      <c r="C147" s="6" t="inlineStr">
        <is>
          <t>Storm Drainage Inlet</t>
        </is>
      </c>
      <c r="D147" s="5" t="inlineStr">
        <is>
          <t>EA</t>
        </is>
      </c>
      <c r="E147" s="7" t="n">
        <v>9</v>
      </c>
      <c r="F147" s="8" t="inlineStr"/>
      <c r="G147" s="8" t="inlineStr"/>
      <c r="H147" s="9" t="n">
        <v>93</v>
      </c>
      <c r="I147" s="11" t="inlineStr">
        <is>
          <t>Engineer Review</t>
        </is>
      </c>
      <c r="J147" s="8" t="inlineStr">
        <is>
          <t>Proposed DI callouts on pipe-section sheets 87 and 88</t>
        </is>
      </c>
      <c r="K147" s="8" t="inlineStr">
        <is>
          <t>Counted proposed DI callouts only; excluded existing DI callouts. Sheet 87: 4 DI. Sheet 88: 5 DI. Total = 9 Each.</t>
        </is>
      </c>
    </row>
    <row r="148">
      <c r="A148" s="5" t="n">
        <v>138</v>
      </c>
      <c r="B148" s="5" t="inlineStr"/>
      <c r="C148" s="6" t="inlineStr">
        <is>
          <t>Storm Junction Box</t>
        </is>
      </c>
      <c r="D148" s="5" t="inlineStr">
        <is>
          <t>EA</t>
        </is>
      </c>
      <c r="E148" s="7" t="n">
        <v>3</v>
      </c>
      <c r="F148" s="8" t="inlineStr"/>
      <c r="G148" s="8" t="inlineStr"/>
      <c r="H148" s="9" t="n">
        <v>93</v>
      </c>
      <c r="I148" s="11" t="inlineStr">
        <is>
          <t>Engineer Review</t>
        </is>
      </c>
      <c r="J148" s="8" t="inlineStr">
        <is>
          <t>Proposed JB callouts on pipe-section sheets 87 and 88</t>
        </is>
      </c>
      <c r="K148" s="8" t="inlineStr">
        <is>
          <t>Counted proposed JB callouts: JB #1 on sheet 87 and JB #2/JB #3 on sheet 88.</t>
        </is>
      </c>
    </row>
    <row r="149">
      <c r="A149" s="5" t="n">
        <v>139</v>
      </c>
      <c r="B149" s="5" t="inlineStr"/>
      <c r="C149" s="6" t="inlineStr">
        <is>
          <t>Storm Sewer Trench Excavation</t>
        </is>
      </c>
      <c r="D149" s="5" t="inlineStr">
        <is>
          <t>CY</t>
        </is>
      </c>
      <c r="E149" s="7" t="n">
        <v>183</v>
      </c>
      <c r="F149" s="8" t="inlineStr"/>
      <c r="G149" s="8" t="inlineStr"/>
      <c r="H149" s="9" t="n">
        <v>93</v>
      </c>
      <c r="I149" s="11" t="inlineStr">
        <is>
          <t>Engineer Review</t>
        </is>
      </c>
      <c r="J149" s="8" t="inlineStr">
        <is>
          <t>Storm pipe section sheets 87 and 88</t>
        </is>
      </c>
      <c r="K149" s="8" t="inlineStr">
        <is>
          <t>Estimator takeoff using 4 Ft assumed cover, trench width = OD + 2 Ft, and depth = 4 Ft cover + pipe OD. 18 in. RCP: 251 Ft x 3.5 Ft x 5.5 Ft / 27 = 179 CY. 24 in. RCP: 5 Ft x 4.0 Ft x 6.0 Ft / 27 = 4 CY. Total = 183 CY.</t>
        </is>
      </c>
    </row>
    <row r="150">
      <c r="A150" s="5" t="n">
        <v>140</v>
      </c>
      <c r="B150" s="5" t="inlineStr"/>
      <c r="C150" s="6" t="inlineStr">
        <is>
          <t>Storm Sewer Bedding Material</t>
        </is>
      </c>
      <c r="D150" s="5" t="inlineStr">
        <is>
          <t>CY</t>
        </is>
      </c>
      <c r="E150" s="7" t="n">
        <v>18</v>
      </c>
      <c r="F150" s="8" t="inlineStr"/>
      <c r="G150" s="8" t="inlineStr"/>
      <c r="H150" s="9" t="n">
        <v>93</v>
      </c>
      <c r="I150" s="11" t="inlineStr">
        <is>
          <t>Engineer Review</t>
        </is>
      </c>
      <c r="J150" s="8" t="inlineStr">
        <is>
          <t>Storm pipe section sheets 87 and 88</t>
        </is>
      </c>
      <c r="K150" s="8" t="inlineStr">
        <is>
          <t>Estimator takeoff using 6 in. bedding assumption. 18 in. RCP: 251 Ft x 3.5 Ft x 0.5 Ft / 27 = 16.3 CY. 24 in. RCP: 5 Ft x 4.0 Ft x 0.5 Ft / 27 = 0.4 CY. Added allowance for structure connection bedding; rounded total = 18 CY.</t>
        </is>
      </c>
    </row>
    <row r="151">
      <c r="A151" s="5" t="n">
        <v>141</v>
      </c>
      <c r="B151" s="5" t="inlineStr"/>
      <c r="C151" s="6" t="inlineStr">
        <is>
          <t>18 in. Reinforced Concrete Pipe (RCP)</t>
        </is>
      </c>
      <c r="D151" s="5" t="inlineStr">
        <is>
          <t>LF</t>
        </is>
      </c>
      <c r="E151" s="7" t="n">
        <v>393</v>
      </c>
      <c r="F151" s="8" t="inlineStr"/>
      <c r="G151" s="8" t="inlineStr"/>
      <c r="H151" s="9" t="n">
        <v>95</v>
      </c>
      <c r="I151" s="11" t="inlineStr">
        <is>
          <t>Engineer Review</t>
        </is>
      </c>
      <c r="J151" s="8" t="inlineStr">
        <is>
          <t>p89-p93 pipe-section callouts: 57+23+48+17+46+23+46+26+46+15+46 LF of 18 in. RCP</t>
        </is>
      </c>
      <c r="K151" s="8" t="inlineStr">
        <is>
          <t>Sum of printed proposed-pipe callouts: p89 80 Ft + p90 134 Ft + p91 72 Ft + p92 61 Ft + p93 46 Ft = 393 Ft.</t>
        </is>
      </c>
    </row>
    <row r="152">
      <c r="A152" s="5" t="n">
        <v>142</v>
      </c>
      <c r="B152" s="5" t="inlineStr"/>
      <c r="C152" s="6" t="inlineStr">
        <is>
          <t>6 in. PVC Pipe</t>
        </is>
      </c>
      <c r="D152" s="5" t="inlineStr">
        <is>
          <t>LF</t>
        </is>
      </c>
      <c r="E152" s="7" t="n">
        <v>17</v>
      </c>
      <c r="F152" s="8" t="inlineStr"/>
      <c r="G152" s="8" t="inlineStr"/>
      <c r="H152" s="9" t="n">
        <v>95</v>
      </c>
      <c r="I152" s="11" t="inlineStr">
        <is>
          <t>Engineer Review</t>
        </is>
      </c>
      <c r="J152" s="8" t="inlineStr">
        <is>
          <t>p92 upper pipe-section callout: 17 LF - 6 in. PVC @ 17.36%</t>
        </is>
      </c>
      <c r="K152" s="8" t="inlineStr">
        <is>
          <t>Printed proposed-pipe callout quantity.</t>
        </is>
      </c>
    </row>
    <row r="153">
      <c r="A153" s="5" t="n">
        <v>143</v>
      </c>
      <c r="B153" s="5" t="inlineStr"/>
      <c r="C153" s="6" t="inlineStr">
        <is>
          <t>Drainage Inlet (DI)</t>
        </is>
      </c>
      <c r="D153" s="5" t="inlineStr">
        <is>
          <t>EA</t>
        </is>
      </c>
      <c r="E153" s="7" t="n">
        <v>14</v>
      </c>
      <c r="F153" s="8" t="inlineStr"/>
      <c r="G153" s="8" t="inlineStr"/>
      <c r="H153" s="9" t="n">
        <v>93</v>
      </c>
      <c r="I153" s="11" t="inlineStr">
        <is>
          <t>Engineer Review</t>
        </is>
      </c>
      <c r="J153" s="8" t="inlineStr">
        <is>
          <t>p89-p93 structure callouts labeled INSTALL DI: p89 DI-9 and DI-10; p90 DI-11 through DI-14; p91 DI-16 and DI-17; p92 two DI callouts; p93 DI-19 through DI-22.</t>
        </is>
      </c>
      <c r="K153" s="8" t="inlineStr">
        <is>
          <t>Count of visible proposed structure callouts labeled "INSTALL DI" across p89-p93: 2 + 4 + 2 + 2 + 4 = 14 Each. One p92 DI callout appears to repeat structure number 17 and requires plan-set coordination.</t>
        </is>
      </c>
    </row>
    <row r="154">
      <c r="A154" s="5" t="n">
        <v>144</v>
      </c>
      <c r="B154" s="5" t="inlineStr"/>
      <c r="C154" s="6" t="inlineStr">
        <is>
          <t>Junction Box (JB)</t>
        </is>
      </c>
      <c r="D154" s="5" t="inlineStr">
        <is>
          <t>EA</t>
        </is>
      </c>
      <c r="E154" s="7" t="n">
        <v>6</v>
      </c>
      <c r="F154" s="8" t="inlineStr"/>
      <c r="G154" s="8" t="inlineStr"/>
      <c r="H154" s="9" t="n">
        <v>95</v>
      </c>
      <c r="I154" s="11" t="inlineStr">
        <is>
          <t>Engineer Review</t>
        </is>
      </c>
      <c r="J154" s="8" t="inlineStr">
        <is>
          <t>p89-p93 structure callouts labeled INSTALL JB: JB-4, JB-5, JB-6, JB-7, JB-8, and JB-9</t>
        </is>
      </c>
      <c r="K154" s="8" t="inlineStr">
        <is>
          <t>Count of visible proposed callouts labeled "INSTALL JB": p89 1 + p90 2 + p91 1 + p92 1 + p93 1 = 6 Each.</t>
        </is>
      </c>
    </row>
    <row r="155">
      <c r="A155" s="5" t="n">
        <v>145</v>
      </c>
      <c r="B155" s="5" t="inlineStr"/>
      <c r="C155" s="6" t="inlineStr">
        <is>
          <t>Flared End Section (FES)</t>
        </is>
      </c>
      <c r="D155" s="5" t="inlineStr">
        <is>
          <t>EA</t>
        </is>
      </c>
      <c r="E155" s="7" t="n">
        <v>9</v>
      </c>
      <c r="F155" s="8" t="inlineStr"/>
      <c r="G155" s="8" t="inlineStr"/>
      <c r="H155" s="9" t="n">
        <v>95</v>
      </c>
      <c r="I155" s="11" t="inlineStr">
        <is>
          <t>Engineer Review</t>
        </is>
      </c>
      <c r="J155" s="8" t="inlineStr">
        <is>
          <t>p93-p94 structure callouts labeled INSTALL FES: p93 FES-2, FES-3, FES-4; p94 FES-5 through FES-10</t>
        </is>
      </c>
      <c r="K155" s="8" t="inlineStr">
        <is>
          <t>Count of visible proposed callouts labeled "INSTALL FES": p93 3 + p94 6 = 9 Each.</t>
        </is>
      </c>
    </row>
    <row r="156">
      <c r="A156" s="5" t="n">
        <v>146</v>
      </c>
      <c r="B156" s="5" t="inlineStr"/>
      <c r="C156" s="6" t="inlineStr">
        <is>
          <t>Traffic Junction Box, 12 inch</t>
        </is>
      </c>
      <c r="D156" s="5" t="inlineStr">
        <is>
          <t>EA</t>
        </is>
      </c>
      <c r="E156" s="7" t="n">
        <v>12</v>
      </c>
      <c r="F156" s="8" t="inlineStr"/>
      <c r="G156" s="8" t="inlineStr"/>
      <c r="H156" s="9" t="n">
        <v>95</v>
      </c>
      <c r="I156" s="11" t="inlineStr">
        <is>
          <t>Engineer Review</t>
        </is>
      </c>
      <c r="J156" s="8" t="inlineStr">
        <is>
          <t>L1, Traffic Signal Tabulated Quantities, Table for Junction Box, grand total</t>
        </is>
      </c>
      <c r="K156" s="8" t="inlineStr">
        <is>
          <t>Extracted from the junction-box table grand-total row.</t>
        </is>
      </c>
    </row>
    <row r="157">
      <c r="A157" s="5" t="n">
        <v>147</v>
      </c>
      <c r="B157" s="5" t="inlineStr"/>
      <c r="C157" s="6" t="inlineStr">
        <is>
          <t>Traffic Junction Box, 24 inch</t>
        </is>
      </c>
      <c r="D157" s="5" t="inlineStr">
        <is>
          <t>EA</t>
        </is>
      </c>
      <c r="E157" s="7" t="n">
        <v>13</v>
      </c>
      <c r="F157" s="8" t="inlineStr"/>
      <c r="G157" s="8" t="inlineStr"/>
      <c r="H157" s="9" t="n">
        <v>95</v>
      </c>
      <c r="I157" s="11" t="inlineStr">
        <is>
          <t>Engineer Review</t>
        </is>
      </c>
      <c r="J157" s="8" t="inlineStr">
        <is>
          <t>L1, Traffic Signal Tabulated Quantities, Table for Junction Box, grand total</t>
        </is>
      </c>
      <c r="K157" s="8" t="inlineStr">
        <is>
          <t>Extracted from the junction-box table grand-total row.</t>
        </is>
      </c>
    </row>
    <row r="158">
      <c r="A158" s="5" t="n">
        <v>148</v>
      </c>
      <c r="B158" s="5" t="inlineStr"/>
      <c r="C158" s="6" t="inlineStr">
        <is>
          <t>Traffic Junction Box, 30 inch</t>
        </is>
      </c>
      <c r="D158" s="5" t="inlineStr">
        <is>
          <t>EA</t>
        </is>
      </c>
      <c r="E158" s="7" t="n">
        <v>16</v>
      </c>
      <c r="F158" s="8" t="inlineStr"/>
      <c r="G158" s="8" t="inlineStr"/>
      <c r="H158" s="9" t="n">
        <v>95</v>
      </c>
      <c r="I158" s="11" t="inlineStr">
        <is>
          <t>Engineer Review</t>
        </is>
      </c>
      <c r="J158" s="8" t="inlineStr">
        <is>
          <t>L1, Traffic Signal Tabulated Quantities, Table for Junction Box, grand total</t>
        </is>
      </c>
      <c r="K158" s="8" t="inlineStr">
        <is>
          <t>Extracted from the junction-box table grand-total row.</t>
        </is>
      </c>
    </row>
    <row r="159">
      <c r="A159" s="5" t="n">
        <v>149</v>
      </c>
      <c r="B159" s="5" t="inlineStr"/>
      <c r="C159" s="6" t="inlineStr">
        <is>
          <t>Tie to Existing Junction Box</t>
        </is>
      </c>
      <c r="D159" s="5" t="inlineStr">
        <is>
          <t>EA</t>
        </is>
      </c>
      <c r="E159" s="7" t="n">
        <v>1</v>
      </c>
      <c r="F159" s="8" t="inlineStr"/>
      <c r="G159" s="8" t="inlineStr"/>
      <c r="H159" s="9" t="n">
        <v>95</v>
      </c>
      <c r="I159" s="11" t="inlineStr">
        <is>
          <t>Engineer Review</t>
        </is>
      </c>
      <c r="J159" s="8" t="inlineStr">
        <is>
          <t>L1, Table for Tie to Existing Junction Box; Sta. 67+60, Rt - EFJB4</t>
        </is>
      </c>
      <c r="K159" s="8" t="inlineStr">
        <is>
          <t>Extracted from the table total.</t>
        </is>
      </c>
    </row>
    <row r="160">
      <c r="A160" s="5" t="n">
        <v>150</v>
      </c>
      <c r="B160" s="5" t="inlineStr"/>
      <c r="C160" s="6" t="inlineStr">
        <is>
          <t>Extended Detention Basin Water Quality Control Volume Storage</t>
        </is>
      </c>
      <c r="D160" s="5" t="inlineStr">
        <is>
          <t>AC-FT</t>
        </is>
      </c>
      <c r="E160" s="7" t="n">
        <v>2.35</v>
      </c>
      <c r="F160" s="8" t="inlineStr"/>
      <c r="G160" s="8" t="inlineStr"/>
      <c r="H160" s="9" t="n">
        <v>95</v>
      </c>
      <c r="I160" s="11" t="inlineStr">
        <is>
          <t>Engineer Review</t>
        </is>
      </c>
      <c r="J160" s="8" t="inlineStr">
        <is>
          <t>J14, Extended Detention Basin Stage Storage table, Elevation 1504.5; comment: WQCV (1.1 Required)</t>
        </is>
      </c>
      <c r="K160" s="8" t="inlineStr">
        <is>
          <t>Extracted storage volume at Elevation 1504.5 from the stage-storage table.</t>
        </is>
      </c>
    </row>
    <row r="161">
      <c r="A161" s="5" t="n">
        <v>151</v>
      </c>
      <c r="B161" s="5" t="inlineStr"/>
      <c r="C161" s="6" t="inlineStr">
        <is>
          <t>Extended Detention Basin Storage at 5-Year High Water Level</t>
        </is>
      </c>
      <c r="D161" s="5" t="inlineStr">
        <is>
          <t>AC-FT</t>
        </is>
      </c>
      <c r="E161" s="7" t="n">
        <v>3.53</v>
      </c>
      <c r="F161" s="8" t="inlineStr"/>
      <c r="G161" s="8" t="inlineStr"/>
      <c r="H161" s="9" t="n">
        <v>95</v>
      </c>
      <c r="I161" s="11" t="inlineStr">
        <is>
          <t>Engineer Review</t>
        </is>
      </c>
      <c r="J161" s="8" t="inlineStr">
        <is>
          <t>J14, Extended Detention Basin Stage Storage table, Elevation 1505.1; comment: 5-Year HWL</t>
        </is>
      </c>
      <c r="K161" s="8" t="inlineStr">
        <is>
          <t>Extracted storage volume at the labeled 5-Year HWL from the stage-storage table.</t>
        </is>
      </c>
    </row>
    <row r="162">
      <c r="A162" s="5" t="n">
        <v>152</v>
      </c>
      <c r="B162" s="5" t="inlineStr"/>
      <c r="C162" s="6" t="inlineStr">
        <is>
          <t>Extended Detention Basin Storage at 100-Year High Water Level</t>
        </is>
      </c>
      <c r="D162" s="5" t="inlineStr">
        <is>
          <t>AC-FT</t>
        </is>
      </c>
      <c r="E162" s="7" t="n">
        <v>7.09</v>
      </c>
      <c r="F162" s="8" t="inlineStr"/>
      <c r="G162" s="8" t="inlineStr"/>
      <c r="H162" s="9" t="n">
        <v>95</v>
      </c>
      <c r="I162" s="11" t="inlineStr">
        <is>
          <t>Engineer Review</t>
        </is>
      </c>
      <c r="J162" s="8" t="inlineStr">
        <is>
          <t>J14, Extended Detention Basin Stage Storage table, Elevation 1506.8; comment: 100-Year HWL</t>
        </is>
      </c>
      <c r="K162" s="8" t="inlineStr">
        <is>
          <t>Extracted storage volume at the labeled 100-Year HWL from the stage-storage table.</t>
        </is>
      </c>
    </row>
    <row r="163">
      <c r="A163" s="5" t="n">
        <v>153</v>
      </c>
      <c r="B163" s="5" t="inlineStr"/>
      <c r="C163" s="6" t="inlineStr">
        <is>
          <t>Extended Detention Basin Top-of-Pond Storage</t>
        </is>
      </c>
      <c r="D163" s="5" t="inlineStr">
        <is>
          <t>AC-FT</t>
        </is>
      </c>
      <c r="E163" s="7" t="n">
        <v>9.9</v>
      </c>
      <c r="F163" s="8" t="inlineStr"/>
      <c r="G163" s="8" t="inlineStr"/>
      <c r="H163" s="9" t="n">
        <v>95</v>
      </c>
      <c r="I163" s="11" t="inlineStr">
        <is>
          <t>Engineer Review</t>
        </is>
      </c>
      <c r="J163" s="8" t="inlineStr">
        <is>
          <t>J14, Extended Detention Basin Stage Storage table, Elevation 1508.0; comment: Top of Pond</t>
        </is>
      </c>
      <c r="K163" s="8" t="inlineStr">
        <is>
          <t>Extracted storage volume at the top-of-pond elevation from the stage-storage table.</t>
        </is>
      </c>
    </row>
    <row r="164">
      <c r="A164" s="5" t="n">
        <v>154</v>
      </c>
      <c r="B164" s="5" t="inlineStr"/>
      <c r="C164" s="6" t="inlineStr">
        <is>
          <t>TJB1 through TJB8 - Proposed Traffic Junction Boxes</t>
        </is>
      </c>
      <c r="D164" s="5" t="inlineStr">
        <is>
          <t>EA</t>
        </is>
      </c>
      <c r="E164" s="7" t="n">
        <v>8</v>
      </c>
      <c r="F164" s="8" t="inlineStr"/>
      <c r="G164" s="8" t="inlineStr"/>
      <c r="H164" s="9" t="n">
        <v>93</v>
      </c>
      <c r="I164" s="11" t="inlineStr">
        <is>
          <t>Engineer Review</t>
        </is>
      </c>
      <c r="J164" s="8" t="inlineStr">
        <is>
          <t>Sheet L5 Signal Conduit Layout; visible labeled TJB1-TJB8 locations</t>
        </is>
      </c>
      <c r="K164" s="8" t="inlineStr">
        <is>
          <t>Counted eight unique labeled proposed traffic junction box locations: TJB1 through TJB8. Box diameters are not tabulated on this rendered sheet.</t>
        </is>
      </c>
    </row>
    <row r="165">
      <c r="A165" s="5" t="n">
        <v>155</v>
      </c>
      <c r="B165" s="5" t="inlineStr"/>
      <c r="C165" s="6" t="inlineStr">
        <is>
          <t>18-inch Diameter Junction Box</t>
        </is>
      </c>
      <c r="D165" s="5" t="inlineStr">
        <is>
          <t>EA</t>
        </is>
      </c>
      <c r="E165" s="7" t="n">
        <v>10</v>
      </c>
      <c r="F165" s="8" t="inlineStr"/>
      <c r="G165" s="8" t="inlineStr"/>
      <c r="H165" s="9" t="n">
        <v>98</v>
      </c>
      <c r="I165" s="10" t="inlineStr">
        <is>
          <t>Verified</t>
        </is>
      </c>
      <c r="J165" s="8" t="inlineStr">
        <is>
          <t>Sheet L14, Table for Junction Boxes, 18-inch column total</t>
        </is>
      </c>
      <c r="K165" s="8" t="inlineStr">
        <is>
          <t>Extracted from Table for Junction Boxes total: 10 Each.</t>
        </is>
      </c>
    </row>
    <row r="166">
      <c r="A166" s="5" t="n">
        <v>156</v>
      </c>
      <c r="B166" s="5" t="inlineStr"/>
      <c r="C166" s="6" t="inlineStr">
        <is>
          <t>24-inch Diameter Traffic Signal/Fiber Junction Box (FJB17)</t>
        </is>
      </c>
      <c r="D166" s="5" t="inlineStr">
        <is>
          <t>EA</t>
        </is>
      </c>
      <c r="E166" s="7" t="n">
        <v>1</v>
      </c>
      <c r="F166" s="8" t="inlineStr"/>
      <c r="G166" s="8" t="inlineStr"/>
      <c r="H166" s="9" t="n">
        <v>94</v>
      </c>
      <c r="I166" s="11" t="inlineStr">
        <is>
          <t>Engineer Review</t>
        </is>
      </c>
      <c r="J166" s="8" t="inlineStr">
        <is>
          <t>Sheet L13, Proposed Traffic Signal/Fiber Locations table: FJB17 - 24-inch; location 102+25.54, 56.9 feet left</t>
        </is>
      </c>
      <c r="K166" s="8" t="inlineStr">
        <is>
          <t>Counted one scheduled proposed traffic signal/fiber junction box, FJB17. The 56.9-foot notation is interpreted as location offset left, not conduit length.</t>
        </is>
      </c>
    </row>
    <row r="167">
      <c r="A167" s="5" t="n">
        <v>157</v>
      </c>
      <c r="B167" s="5" t="inlineStr"/>
      <c r="C167" s="6" t="inlineStr">
        <is>
          <t>24 in Reinforced Concrete Pipe Storm Sewer</t>
        </is>
      </c>
      <c r="D167" s="5" t="inlineStr">
        <is>
          <t>LF</t>
        </is>
      </c>
      <c r="E167" s="7" t="n">
        <v>350</v>
      </c>
      <c r="F167" s="8" t="inlineStr"/>
      <c r="G167" s="8" t="inlineStr"/>
      <c r="H167" s="9" t="n">
        <v>93</v>
      </c>
      <c r="I167" s="11" t="inlineStr">
        <is>
          <t>Engineer Review</t>
        </is>
      </c>
      <c r="J167" s="8" t="inlineStr">
        <is>
          <t>Cross sections M5-M7; proposed 24 in RCP labeled at STA 72+50, 73+00, 73+50, 74+00, 74+50, 75+00, 75+50, and 76+00.</t>
        </is>
      </c>
      <c r="K167" s="8" t="inlineStr">
        <is>
          <t>Stationed extent taken from first consecutive visible 24 in RCP label at STA 72+50 through last consecutive visible label at STA 76+00: 76+00 - 72+50 = 350 Ft. A separate 24 in RCP label is also visible at STA 81+00, but intervening pipe continuity is not sufficiently shown on these sheets and is excluded.</t>
        </is>
      </c>
    </row>
    <row r="168">
      <c r="A168" s="5" t="n">
        <v>158</v>
      </c>
      <c r="B168" s="5" t="inlineStr"/>
      <c r="C168" s="6" t="inlineStr">
        <is>
          <t>Storm Sewer Bedding for 30 in RCP</t>
        </is>
      </c>
      <c r="D168" s="5" t="inlineStr">
        <is>
          <t>CY</t>
        </is>
      </c>
      <c r="E168" s="7" t="n">
        <v>20.83</v>
      </c>
      <c r="F168" s="8" t="inlineStr"/>
      <c r="G168" s="8" t="inlineStr"/>
      <c r="H168" s="9" t="n">
        <v>93</v>
      </c>
      <c r="I168" s="11" t="inlineStr">
        <is>
          <t>Engineer Review</t>
        </is>
      </c>
      <c r="J168" s="8" t="inlineStr">
        <is>
          <t>30 in RCP extent shown on M3-M4, STA 69+50 through STA 72+00.</t>
        </is>
      </c>
      <c r="K168" s="8" t="inlineStr">
        <is>
          <t>Derived quantity. Assumptions: 6 in bedding thickness and 4.5 Ft trench width. Quantity = 4.5 Ft x 0.5 Ft x 250 Ft / 27 = 20.83 CuYd.</t>
        </is>
      </c>
    </row>
    <row r="169">
      <c r="A169" s="5" t="n">
        <v>159</v>
      </c>
      <c r="B169" s="5" t="inlineStr"/>
      <c r="C169" s="6" t="inlineStr">
        <is>
          <t>Storm Sewer Trench Backfill for 30 in RCP</t>
        </is>
      </c>
      <c r="D169" s="5" t="inlineStr">
        <is>
          <t>CY</t>
        </is>
      </c>
      <c r="E169" s="7" t="n">
        <v>204.55</v>
      </c>
      <c r="F169" s="8" t="inlineStr"/>
      <c r="G169" s="8" t="inlineStr"/>
      <c r="H169" s="9" t="n">
        <v>93</v>
      </c>
      <c r="I169" s="11" t="inlineStr">
        <is>
          <t>Engineer Review</t>
        </is>
      </c>
      <c r="J169" s="8" t="inlineStr">
        <is>
          <t>30 in RCP extent shown on M3-M4, STA 69+50 through STA 72+00.</t>
        </is>
      </c>
      <c r="K169" s="8" t="inlineStr">
        <is>
          <t>Derived quantity. Excavation 270.83 CuYd less 6 in bedding 20.83 CuYd less nominal 30 in pipe displacement [pi x (1.25 Ft)^2 x 250 Ft / 27 = 45.45 CuYd] = 204.55 CuYd.</t>
        </is>
      </c>
    </row>
    <row r="170">
      <c r="A170" s="5" t="n">
        <v>160</v>
      </c>
      <c r="B170" s="5" t="inlineStr"/>
      <c r="C170" s="6" t="inlineStr">
        <is>
          <t>Storm Sewer Bedding for 24 in RCP</t>
        </is>
      </c>
      <c r="D170" s="5" t="inlineStr">
        <is>
          <t>CY</t>
        </is>
      </c>
      <c r="E170" s="7" t="n">
        <v>25.93</v>
      </c>
      <c r="F170" s="8" t="inlineStr"/>
      <c r="G170" s="8" t="inlineStr"/>
      <c r="H170" s="9" t="n">
        <v>93</v>
      </c>
      <c r="I170" s="11" t="inlineStr">
        <is>
          <t>Engineer Review</t>
        </is>
      </c>
      <c r="J170" s="8" t="inlineStr">
        <is>
          <t>24 in RCP extent shown on M5-M7, STA 72+50 through STA 76+00.</t>
        </is>
      </c>
      <c r="K170" s="8" t="inlineStr">
        <is>
          <t>Derived quantity. Assumptions: 6 in bedding thickness and 4.0 Ft trench width. Quantity = 4.0 Ft x 0.5 Ft x 350 Ft / 27 = 25.93 CuYd.</t>
        </is>
      </c>
    </row>
    <row r="171">
      <c r="A171" s="5" t="n">
        <v>161</v>
      </c>
      <c r="B171" s="5" t="inlineStr"/>
      <c r="C171" s="6" t="inlineStr">
        <is>
          <t>Storm Sewer Trench Backfill for 24 in RCP</t>
        </is>
      </c>
      <c r="D171" s="5" t="inlineStr">
        <is>
          <t>CY</t>
        </is>
      </c>
      <c r="E171" s="7" t="n">
        <v>244.46</v>
      </c>
      <c r="F171" s="8" t="inlineStr"/>
      <c r="G171" s="8" t="inlineStr"/>
      <c r="H171" s="9" t="n">
        <v>93</v>
      </c>
      <c r="I171" s="11" t="inlineStr">
        <is>
          <t>Engineer Review</t>
        </is>
      </c>
      <c r="J171" s="8" t="inlineStr">
        <is>
          <t>24 in RCP extent shown on M5-M7, STA 72+50 through STA 76+00.</t>
        </is>
      </c>
      <c r="K171" s="8" t="inlineStr">
        <is>
          <t>Derived quantity. Excavation 311.11 CuYd less 6 in bedding 25.93 CuYd less nominal 24 in pipe displacement [pi x (1.0 Ft)^2 x 350 Ft / 27 = 40.72 CuYd] = 244.46 CuYd.</t>
        </is>
      </c>
    </row>
    <row r="172">
      <c r="A172" s="5" t="n">
        <v>162</v>
      </c>
      <c r="B172" s="5" t="inlineStr"/>
      <c r="C172" s="6" t="inlineStr">
        <is>
          <t>24-inch Reinforced Concrete Pipe Storm Sewer</t>
        </is>
      </c>
      <c r="D172" s="5" t="inlineStr">
        <is>
          <t>LF</t>
        </is>
      </c>
      <c r="E172" s="7" t="n">
        <v>1150</v>
      </c>
      <c r="F172" s="8" t="inlineStr"/>
      <c r="G172" s="8" t="inlineStr"/>
      <c r="H172" s="9" t="n">
        <v>93</v>
      </c>
      <c r="I172" s="11" t="inlineStr">
        <is>
          <t>Engineer Review</t>
        </is>
      </c>
      <c r="J172" s="8" t="inlineStr">
        <is>
          <t>Cross sections M11-M18, Sta. 81+50 through Sta. 93+00; proposed utility label "24 in. RCP" is shown in each displayed section.</t>
        </is>
      </c>
      <c r="K172" s="8" t="inlineStr">
        <is>
          <t>Continuous station range: 93+00 - 81+50 = 1,150 Ft. Quantity excludes unmeasured lateral connections to DI structures and excludes steel casing length, which is not stated.</t>
        </is>
      </c>
    </row>
    <row r="173">
      <c r="A173" s="5" t="n">
        <v>163</v>
      </c>
      <c r="B173" s="5" t="inlineStr"/>
      <c r="C173" s="6" t="inlineStr">
        <is>
          <t>Trench Excavation for 24-inch RCP Storm Sewer</t>
        </is>
      </c>
      <c r="D173" s="5" t="inlineStr">
        <is>
          <t>CY</t>
        </is>
      </c>
      <c r="E173" s="7" t="n">
        <v>1107.4</v>
      </c>
      <c r="F173" s="8" t="inlineStr"/>
      <c r="G173" s="8" t="inlineStr"/>
      <c r="H173" s="9" t="n">
        <v>93</v>
      </c>
      <c r="I173" s="11" t="inlineStr">
        <is>
          <t>Engineer Review</t>
        </is>
      </c>
      <c r="J173" s="8" t="inlineStr">
        <is>
          <t>M11-M18 cross sections show proposed 24-inch RCP from Sta. 81+50 through Sta. 93+00.</t>
        </is>
      </c>
      <c r="K173" s="8" t="inlineStr">
        <is>
          <t>1,150 Ft × 4.00 Ft trench width × 6.50 Ft trench depth / 27 = 1,107.4 CuYd. Assumptions: nominal 24-inch pipe OD = 2.00 Ft; trench width = OD + 2 Ft = 4.00 Ft; depth = assumed 4.00 Ft cover + 2.00 Ft pipe OD + 0.50 Ft bedding.</t>
        </is>
      </c>
    </row>
    <row r="174">
      <c r="A174" s="5" t="n">
        <v>164</v>
      </c>
      <c r="B174" s="5" t="inlineStr"/>
      <c r="C174" s="6" t="inlineStr">
        <is>
          <t>Granular Bedding for 24-inch RCP Storm Sewer</t>
        </is>
      </c>
      <c r="D174" s="5" t="inlineStr">
        <is>
          <t>CY</t>
        </is>
      </c>
      <c r="E174" s="7" t="n">
        <v>85.2</v>
      </c>
      <c r="F174" s="8" t="inlineStr"/>
      <c r="G174" s="8" t="inlineStr"/>
      <c r="H174" s="9" t="n">
        <v>93</v>
      </c>
      <c r="I174" s="11" t="inlineStr">
        <is>
          <t>Engineer Review</t>
        </is>
      </c>
      <c r="J174" s="8" t="inlineStr">
        <is>
          <t>M11-M18 proposed 24-inch RCP cross-section utility callouts.</t>
        </is>
      </c>
      <c r="K174" s="8" t="inlineStr">
        <is>
          <t>1,150 Ft × 4.00 Ft trench width × 0.50 Ft assumed bedding thickness / 27 = 85.2 CuYd. Assumptions: trench width = 24-inch nominal OD + 2 Ft; bedding thickness = 6 inches.</t>
        </is>
      </c>
    </row>
    <row r="175">
      <c r="A175" s="5" t="n">
        <v>165</v>
      </c>
      <c r="B175" s="5" t="inlineStr"/>
      <c r="C175" s="6" t="inlineStr">
        <is>
          <t>Trench Backfill for 24-inch RCP Storm Sewer</t>
        </is>
      </c>
      <c r="D175" s="5" t="inlineStr">
        <is>
          <t>CY</t>
        </is>
      </c>
      <c r="E175" s="7" t="n">
        <v>888.4</v>
      </c>
      <c r="F175" s="8" t="inlineStr"/>
      <c r="G175" s="8" t="inlineStr"/>
      <c r="H175" s="9" t="n">
        <v>93</v>
      </c>
      <c r="I175" s="11" t="inlineStr">
        <is>
          <t>Engineer Review</t>
        </is>
      </c>
      <c r="J175" s="8" t="inlineStr">
        <is>
          <t>M11-M18 proposed 24-inch RCP cross-section utility callouts.</t>
        </is>
      </c>
      <c r="K175" s="8" t="inlineStr">
        <is>
          <t>Trench excavation 1,107.4 CuYd - 6-inch bedding 85.2 CuYd - pipe displacement [pi/4 × (2.00 Ft)^2 × 1,150 Ft / 27 = 133.8 CuYd] = 888.4 CuYd. Assumed cover = 4 Ft and nominal 24-inch pipe OD = 2.00 Ft.</t>
        </is>
      </c>
    </row>
    <row r="176">
      <c r="A176" s="5" t="n">
        <v>166</v>
      </c>
      <c r="B176" s="5" t="inlineStr"/>
      <c r="C176" s="6" t="inlineStr">
        <is>
          <t>DI-12 Drainage Inlet</t>
        </is>
      </c>
      <c r="D176" s="5" t="inlineStr">
        <is>
          <t>EA</t>
        </is>
      </c>
      <c r="E176" s="7" t="n">
        <v>2</v>
      </c>
      <c r="F176" s="8" t="inlineStr"/>
      <c r="G176" s="8" t="inlineStr"/>
      <c r="H176" s="9" t="n">
        <v>93</v>
      </c>
      <c r="I176" s="11" t="inlineStr">
        <is>
          <t>Engineer Review</t>
        </is>
      </c>
      <c r="J176" s="8" t="inlineStr">
        <is>
          <t>Sheet M14, Sta. 87+00 cross section: callouts at Sta. 86+97.05, 36.00 Ft LT and Sta. 86+97.05, 36.00 Ft RT state "INSTALL DI 12," depth = 4.00 Ft.</t>
        </is>
      </c>
      <c r="K176" s="8" t="inlineStr">
        <is>
          <t>Counted two explicitly called-out proposed DI-12 structures: one left and one right of roadway centerline.</t>
        </is>
      </c>
    </row>
    <row r="177">
      <c r="A177" s="5" t="n">
        <v>167</v>
      </c>
      <c r="B177" s="5" t="inlineStr"/>
      <c r="C177" s="6" t="inlineStr">
        <is>
          <t>30-inch RCP Storm Sewer</t>
        </is>
      </c>
      <c r="D177" s="5" t="inlineStr">
        <is>
          <t>LF</t>
        </is>
      </c>
      <c r="E177" s="7" t="n">
        <v>600</v>
      </c>
      <c r="F177" s="8" t="inlineStr"/>
      <c r="G177" s="8" t="inlineStr"/>
      <c r="H177" s="9" t="n">
        <v>93</v>
      </c>
      <c r="I177" s="11" t="inlineStr">
        <is>
          <t>Engineer Review</t>
        </is>
      </c>
      <c r="J177" s="8" t="inlineStr">
        <is>
          <t>Proposed 30-inch RCP callouts on Sheets M19-M23, STA. 93+50 through STA. 99+50</t>
        </is>
      </c>
      <c r="K177" s="8" t="inlineStr">
        <is>
          <t>Station-range quantity: STA. 99+50 minus STA. 93+50 = 600 Ft. The proposed purple 30-inch RCP callout is shown at the successive cross sections within this range.</t>
        </is>
      </c>
    </row>
    <row r="178">
      <c r="A178" s="5" t="n">
        <v>168</v>
      </c>
      <c r="B178" s="5" t="inlineStr"/>
      <c r="C178" s="6" t="inlineStr">
        <is>
          <t>Trench Excavation for 30-inch RCP Storm Sewer</t>
        </is>
      </c>
      <c r="D178" s="5" t="inlineStr">
        <is>
          <t>CY</t>
        </is>
      </c>
      <c r="E178" s="7" t="n">
        <v>700</v>
      </c>
      <c r="F178" s="8" t="inlineStr"/>
      <c r="G178" s="8" t="inlineStr"/>
      <c r="H178" s="9" t="n">
        <v>93</v>
      </c>
      <c r="I178" s="11" t="inlineStr">
        <is>
          <t>Engineer Review</t>
        </is>
      </c>
      <c r="J178" s="8" t="inlineStr">
        <is>
          <t>Proposed 30-inch RCP callouts, Sheets M19-M23, STA. 93+50 through STA. 99+50</t>
        </is>
      </c>
      <c r="K178" s="8" t="inlineStr">
        <is>
          <t>600 Ft x [trench width max(30 in / 12 + 2 Ft, 2.5 Ft) = 4.5 Ft] x [4.0 Ft assumed cover + 2.5 Ft assumed pipe OD + 0.5 Ft bedding] / 27 = 700 CuYd.</t>
        </is>
      </c>
    </row>
    <row r="179">
      <c r="A179" s="5" t="n">
        <v>169</v>
      </c>
      <c r="B179" s="5" t="inlineStr"/>
      <c r="C179" s="6" t="inlineStr">
        <is>
          <t>Storm Sewer Bedding Material for 30-inch RCP</t>
        </is>
      </c>
      <c r="D179" s="5" t="inlineStr">
        <is>
          <t>CY</t>
        </is>
      </c>
      <c r="E179" s="7" t="n">
        <v>50</v>
      </c>
      <c r="F179" s="8" t="inlineStr"/>
      <c r="G179" s="8" t="inlineStr"/>
      <c r="H179" s="9" t="n">
        <v>93</v>
      </c>
      <c r="I179" s="11" t="inlineStr">
        <is>
          <t>Engineer Review</t>
        </is>
      </c>
      <c r="J179" s="8" t="inlineStr">
        <is>
          <t>Proposed 30-inch RCP callouts, Sheets M19-M23; 6-inch bedding assumption</t>
        </is>
      </c>
      <c r="K179" s="8" t="inlineStr">
        <is>
          <t>600 Ft x 4.5 Ft assumed trench width x 0.5 Ft assumed bedding thickness / 27 = 50 CuYd.</t>
        </is>
      </c>
    </row>
    <row r="180">
      <c r="A180" s="5" t="n">
        <v>170</v>
      </c>
      <c r="B180" s="5" t="inlineStr"/>
      <c r="C180" s="6" t="inlineStr">
        <is>
          <t>Trench Backfill for 30-inch RCP Storm Sewer</t>
        </is>
      </c>
      <c r="D180" s="5" t="inlineStr">
        <is>
          <t>CY</t>
        </is>
      </c>
      <c r="E180" s="7" t="n">
        <v>541</v>
      </c>
      <c r="F180" s="8" t="inlineStr"/>
      <c r="G180" s="8" t="inlineStr"/>
      <c r="H180" s="9" t="n">
        <v>93</v>
      </c>
      <c r="I180" s="11" t="inlineStr">
        <is>
          <t>Engineer Review</t>
        </is>
      </c>
      <c r="J180" s="8" t="inlineStr">
        <is>
          <t>Proposed 30-inch RCP callouts, Sheets M19-M23</t>
        </is>
      </c>
      <c r="K180" s="8" t="inlineStr">
        <is>
          <t>Trench excavation 700 CuYd minus bedding 50 CuYd minus pipe displacement [pi x (2.5 Ft / 2)^2 x 600 Ft / 27 = 109 CuYd] = 541 CuYd.</t>
        </is>
      </c>
    </row>
    <row r="181">
      <c r="A181" s="5" t="n">
        <v>171</v>
      </c>
      <c r="B181" s="5" t="inlineStr"/>
      <c r="C181" s="6" t="inlineStr">
        <is>
          <t>24-inch RCP Storm Sewer Crossing Location</t>
        </is>
      </c>
      <c r="D181" s="5" t="inlineStr">
        <is>
          <t>EA</t>
        </is>
      </c>
      <c r="E181" s="7" t="n">
        <v>1</v>
      </c>
      <c r="F181" s="8" t="inlineStr"/>
      <c r="G181" s="8" t="inlineStr"/>
      <c r="H181" s="9" t="n">
        <v>93</v>
      </c>
      <c r="I181" s="11" t="inlineStr">
        <is>
          <t>Engineer Review</t>
        </is>
      </c>
      <c r="J181" s="8" t="inlineStr">
        <is>
          <t>Proposed 24-inch RCP callout at STA. 102+00, Sheet M24, PDF p150</t>
        </is>
      </c>
      <c r="K181" s="8" t="inlineStr">
        <is>
          <t>One proposed 24-inch RCP crossing is visible at the STA. 102+00 cross section. Pipe length, structure connections, and trench length are not determinable from this single cross-section callout.</t>
        </is>
      </c>
    </row>
    <row r="182">
      <c r="A182" s="5" t="n">
        <v>172</v>
      </c>
      <c r="B182" s="5" t="inlineStr"/>
      <c r="C182" s="6" t="inlineStr">
        <is>
          <t>Detention Pond Outlet Structure #1</t>
        </is>
      </c>
      <c r="D182" s="5" t="inlineStr">
        <is>
          <t>EA</t>
        </is>
      </c>
      <c r="E182" s="7" t="n">
        <v>1</v>
      </c>
      <c r="F182" s="8" t="inlineStr"/>
      <c r="G182" s="8" t="inlineStr"/>
      <c r="H182" s="9" t="n">
        <v>93</v>
      </c>
      <c r="I182" s="11" t="inlineStr">
        <is>
          <t>Engineer Review</t>
        </is>
      </c>
      <c r="J182" s="8" t="inlineStr">
        <is>
          <t>Sheet N4, title: DETENTION POND OUTLET STRUCTURE #1</t>
        </is>
      </c>
      <c r="K182" s="8" t="inlineStr">
        <is>
          <t>Counted one explicitly numbered detention pond outlet structure.</t>
        </is>
      </c>
    </row>
    <row r="183">
      <c r="A183" s="5" t="n">
        <v>173</v>
      </c>
      <c r="B183" s="5" t="inlineStr"/>
      <c r="C183" s="6" t="inlineStr">
        <is>
          <t>Class M6 concrete - 18 in. dia. outlet, constant quantity</t>
        </is>
      </c>
      <c r="D183" s="5" t="inlineStr">
        <is>
          <t>CY</t>
        </is>
      </c>
      <c r="E183" s="7" t="n">
        <v>2.75</v>
      </c>
      <c r="F183" s="8" t="inlineStr"/>
      <c r="G183" s="8" t="inlineStr"/>
      <c r="H183" s="9" t="n">
        <v>95</v>
      </c>
      <c r="I183" s="11" t="inlineStr">
        <is>
          <t>Engineer Review</t>
        </is>
      </c>
      <c r="J183" s="8" t="inlineStr">
        <is>
          <t>Sheet N5, Estimated Quantities table, 18 in. Dia. Outlet, Constant column</t>
        </is>
      </c>
      <c r="K183" s="8" t="inlineStr">
        <is>
          <t>Extracted from standard-detail Estimated Quantities table.</t>
        </is>
      </c>
    </row>
    <row r="184">
      <c r="A184" s="5" t="n">
        <v>174</v>
      </c>
      <c r="B184" s="5" t="inlineStr"/>
      <c r="C184" s="6" t="inlineStr">
        <is>
          <t>Class M6 concrete - 18 in. dia. outlet, variable quantity</t>
        </is>
      </c>
      <c r="D184" s="5" t="inlineStr">
        <is>
          <t>CY</t>
        </is>
      </c>
      <c r="E184" s="7" t="n">
        <v>0.49</v>
      </c>
      <c r="F184" s="8" t="inlineStr"/>
      <c r="G184" s="8" t="inlineStr"/>
      <c r="H184" s="9" t="n">
        <v>95</v>
      </c>
      <c r="I184" s="11" t="inlineStr">
        <is>
          <t>Engineer Review</t>
        </is>
      </c>
      <c r="J184" s="8" t="inlineStr">
        <is>
          <t>Sheet N5, Estimated Quantities table, 18 in. Dia. Outlet, Variable column</t>
        </is>
      </c>
      <c r="K184" s="8" t="inlineStr">
        <is>
          <t>Extracted from standard-detail Estimated Quantities table; variable quantity is to be reduced per pipe/combination note.</t>
        </is>
      </c>
    </row>
    <row r="185">
      <c r="A185" s="5" t="n">
        <v>175</v>
      </c>
      <c r="B185" s="5" t="inlineStr"/>
      <c r="C185" s="6" t="inlineStr">
        <is>
          <t>Reinforcing, masonry - 18 in. dia. outlet, constant quantity</t>
        </is>
      </c>
      <c r="D185" s="5" t="inlineStr">
        <is>
          <t>LB</t>
        </is>
      </c>
      <c r="E185" s="7" t="n">
        <v>466</v>
      </c>
      <c r="F185" s="8" t="inlineStr"/>
      <c r="G185" s="8" t="inlineStr"/>
      <c r="H185" s="9" t="n">
        <v>95</v>
      </c>
      <c r="I185" s="11" t="inlineStr">
        <is>
          <t>Engineer Review</t>
        </is>
      </c>
      <c r="J185" s="8" t="inlineStr">
        <is>
          <t>Sheet N5, Estimated Quantities table, 18 in. Dia. Outlet, Constant column</t>
        </is>
      </c>
      <c r="K185" s="8" t="inlineStr">
        <is>
          <t>Extracted from standard-detail Estimated Quantities table.</t>
        </is>
      </c>
    </row>
    <row r="186">
      <c r="A186" s="5" t="n">
        <v>176</v>
      </c>
      <c r="B186" s="5" t="inlineStr"/>
      <c r="C186" s="6" t="inlineStr">
        <is>
          <t>Reinforcing, masonry - 18 in. dia. outlet, variable quantity</t>
        </is>
      </c>
      <c r="D186" s="5" t="inlineStr">
        <is>
          <t>LB</t>
        </is>
      </c>
      <c r="E186" s="7" t="n">
        <v>68.59999999999999</v>
      </c>
      <c r="F186" s="8" t="inlineStr"/>
      <c r="G186" s="8" t="inlineStr"/>
      <c r="H186" s="9" t="n">
        <v>95</v>
      </c>
      <c r="I186" s="11" t="inlineStr">
        <is>
          <t>Engineer Review</t>
        </is>
      </c>
      <c r="J186" s="8" t="inlineStr">
        <is>
          <t>Sheet N5, Estimated Quantities table, 18 in. Dia. Outlet, Variable column</t>
        </is>
      </c>
      <c r="K186" s="8" t="inlineStr">
        <is>
          <t>Extracted from standard-detail Estimated Quantities table.</t>
        </is>
      </c>
    </row>
    <row r="187">
      <c r="A187" s="5" t="n">
        <v>177</v>
      </c>
      <c r="B187" s="5" t="inlineStr"/>
      <c r="C187" s="6" t="inlineStr">
        <is>
          <t>Manhole rim &amp; cover type J - 18 in. dia. outlet</t>
        </is>
      </c>
      <c r="D187" s="5" t="inlineStr">
        <is>
          <t>EA</t>
        </is>
      </c>
      <c r="E187" s="7" t="n">
        <v>1</v>
      </c>
      <c r="F187" s="8" t="inlineStr"/>
      <c r="G187" s="8" t="inlineStr"/>
      <c r="H187" s="9" t="n">
        <v>95</v>
      </c>
      <c r="I187" s="11" t="inlineStr">
        <is>
          <t>Engineer Review</t>
        </is>
      </c>
      <c r="J187" s="8" t="inlineStr">
        <is>
          <t>Sheet N5, Estimated Quantities table, 18 in. Dia. Outlet, Constant column</t>
        </is>
      </c>
      <c r="K187" s="8" t="inlineStr">
        <is>
          <t>Extracted from standard-detail Estimated Quantities table.</t>
        </is>
      </c>
    </row>
    <row r="188">
      <c r="A188" s="5" t="n">
        <v>178</v>
      </c>
      <c r="B188" s="5" t="inlineStr"/>
      <c r="C188" s="6" t="inlineStr">
        <is>
          <t>Class M6 concrete - 21 in. dia. outlet, constant quantity</t>
        </is>
      </c>
      <c r="D188" s="5" t="inlineStr">
        <is>
          <t>CY</t>
        </is>
      </c>
      <c r="E188" s="7" t="n">
        <v>2.89</v>
      </c>
      <c r="F188" s="8" t="inlineStr"/>
      <c r="G188" s="8" t="inlineStr"/>
      <c r="H188" s="9" t="n">
        <v>95</v>
      </c>
      <c r="I188" s="11" t="inlineStr">
        <is>
          <t>Engineer Review</t>
        </is>
      </c>
      <c r="J188" s="8" t="inlineStr">
        <is>
          <t>Sheet N5, Estimated Quantities table, 21 in. Dia. Outlet, Constant column</t>
        </is>
      </c>
      <c r="K188" s="8" t="inlineStr">
        <is>
          <t>Extracted from standard-detail Estimated Quantities table.</t>
        </is>
      </c>
    </row>
    <row r="189">
      <c r="A189" s="5" t="n">
        <v>179</v>
      </c>
      <c r="B189" s="5" t="inlineStr"/>
      <c r="C189" s="6" t="inlineStr">
        <is>
          <t>Class M6 concrete - 21 in. dia. outlet, variable quantity</t>
        </is>
      </c>
      <c r="D189" s="5" t="inlineStr">
        <is>
          <t>CY</t>
        </is>
      </c>
      <c r="E189" s="7" t="n">
        <v>0.49</v>
      </c>
      <c r="F189" s="8" t="inlineStr"/>
      <c r="G189" s="8" t="inlineStr"/>
      <c r="H189" s="9" t="n">
        <v>95</v>
      </c>
      <c r="I189" s="11" t="inlineStr">
        <is>
          <t>Engineer Review</t>
        </is>
      </c>
      <c r="J189" s="8" t="inlineStr">
        <is>
          <t>Sheet N5, Estimated Quantities table, 21 in. Dia. Outlet, Variable column</t>
        </is>
      </c>
      <c r="K189" s="8" t="inlineStr">
        <is>
          <t>Extracted from standard-detail Estimated Quantities table; variable quantity is to be reduced per pipe/combination note.</t>
        </is>
      </c>
    </row>
    <row r="190">
      <c r="A190" s="5" t="n">
        <v>180</v>
      </c>
      <c r="B190" s="5" t="inlineStr"/>
      <c r="C190" s="6" t="inlineStr">
        <is>
          <t>Reinforcing, masonry - 21 in. dia. outlet, constant quantity</t>
        </is>
      </c>
      <c r="D190" s="5" t="inlineStr">
        <is>
          <t>LB</t>
        </is>
      </c>
      <c r="E190" s="7" t="n">
        <v>476</v>
      </c>
      <c r="F190" s="8" t="inlineStr"/>
      <c r="G190" s="8" t="inlineStr"/>
      <c r="H190" s="9" t="n">
        <v>95</v>
      </c>
      <c r="I190" s="11" t="inlineStr">
        <is>
          <t>Engineer Review</t>
        </is>
      </c>
      <c r="J190" s="8" t="inlineStr">
        <is>
          <t>Sheet N5, Estimated Quantities table, 21 in. Dia. Outlet, Constant column</t>
        </is>
      </c>
      <c r="K190" s="8" t="inlineStr">
        <is>
          <t>Extracted from standard-detail Estimated Quantities table.</t>
        </is>
      </c>
    </row>
    <row r="191">
      <c r="A191" s="5" t="n">
        <v>181</v>
      </c>
      <c r="B191" s="5" t="inlineStr"/>
      <c r="C191" s="6" t="inlineStr">
        <is>
          <t>Reinforcing, masonry - 21 in. dia. outlet, variable quantity</t>
        </is>
      </c>
      <c r="D191" s="5" t="inlineStr">
        <is>
          <t>LB</t>
        </is>
      </c>
      <c r="E191" s="7" t="n">
        <v>68.59999999999999</v>
      </c>
      <c r="F191" s="8" t="inlineStr"/>
      <c r="G191" s="8" t="inlineStr"/>
      <c r="H191" s="9" t="n">
        <v>95</v>
      </c>
      <c r="I191" s="11" t="inlineStr">
        <is>
          <t>Engineer Review</t>
        </is>
      </c>
      <c r="J191" s="8" t="inlineStr">
        <is>
          <t>Sheet N5, Estimated Quantities table, 21 in. Dia. Outlet, Variable column</t>
        </is>
      </c>
      <c r="K191" s="8" t="inlineStr">
        <is>
          <t>Extracted from standard-detail Estimated Quantities table.</t>
        </is>
      </c>
    </row>
    <row r="192">
      <c r="A192" s="5" t="n">
        <v>182</v>
      </c>
      <c r="B192" s="5" t="inlineStr"/>
      <c r="C192" s="6" t="inlineStr">
        <is>
          <t>Manhole rim &amp; cover type J - 21 in. dia. outlet</t>
        </is>
      </c>
      <c r="D192" s="5" t="inlineStr">
        <is>
          <t>EA</t>
        </is>
      </c>
      <c r="E192" s="7" t="n">
        <v>1</v>
      </c>
      <c r="F192" s="8" t="inlineStr"/>
      <c r="G192" s="8" t="inlineStr"/>
      <c r="H192" s="9" t="n">
        <v>95</v>
      </c>
      <c r="I192" s="11" t="inlineStr">
        <is>
          <t>Engineer Review</t>
        </is>
      </c>
      <c r="J192" s="8" t="inlineStr">
        <is>
          <t>Sheet N5, Estimated Quantities table, 21 in. Dia. Outlet, Constant column</t>
        </is>
      </c>
      <c r="K192" s="8" t="inlineStr">
        <is>
          <t>Extracted from standard-detail Estimated Quantities table.</t>
        </is>
      </c>
    </row>
    <row r="193">
      <c r="A193" s="5" t="n">
        <v>183</v>
      </c>
      <c r="B193" s="5" t="inlineStr"/>
      <c r="C193" s="6" t="inlineStr">
        <is>
          <t>Class M6 concrete - 10 ft long inlet with 24 in. dia. outlet, constant quantity</t>
        </is>
      </c>
      <c r="D193" s="5" t="inlineStr">
        <is>
          <t>CY</t>
        </is>
      </c>
      <c r="E193" s="7" t="n">
        <v>3.03</v>
      </c>
      <c r="F193" s="8" t="inlineStr"/>
      <c r="G193" s="8" t="inlineStr"/>
      <c r="H193" s="9" t="n">
        <v>95</v>
      </c>
      <c r="I193" s="11" t="inlineStr">
        <is>
          <t>Engineer Review</t>
        </is>
      </c>
      <c r="J193" s="8" t="inlineStr">
        <is>
          <t>Sheet N5, Estimated Quantities table, 10 ft Long Inlet, 24 in. Dia. Outlet, Constant column</t>
        </is>
      </c>
      <c r="K193" s="8" t="inlineStr">
        <is>
          <t>Extracted from standard-detail Estimated Quantities table.</t>
        </is>
      </c>
    </row>
    <row r="194">
      <c r="A194" s="5" t="n">
        <v>184</v>
      </c>
      <c r="B194" s="5" t="inlineStr"/>
      <c r="C194" s="6" t="inlineStr">
        <is>
          <t>Class M6 concrete - 10 ft long inlet with 24 in. dia. outlet, variable quantity</t>
        </is>
      </c>
      <c r="D194" s="5" t="inlineStr">
        <is>
          <t>CY</t>
        </is>
      </c>
      <c r="E194" s="7" t="n">
        <v>0.49</v>
      </c>
      <c r="F194" s="8" t="inlineStr"/>
      <c r="G194" s="8" t="inlineStr"/>
      <c r="H194" s="9" t="n">
        <v>95</v>
      </c>
      <c r="I194" s="11" t="inlineStr">
        <is>
          <t>Engineer Review</t>
        </is>
      </c>
      <c r="J194" s="8" t="inlineStr">
        <is>
          <t>Sheet N5, Estimated Quantities table, 10 ft Long Inlet, 24 in. Dia. Outlet, Variable column</t>
        </is>
      </c>
      <c r="K194" s="8" t="inlineStr">
        <is>
          <t>Extracted from standard-detail Estimated Quantities table; variable quantity is to be reduced per pipe/combination note.</t>
        </is>
      </c>
    </row>
    <row r="195">
      <c r="A195" s="5" t="n">
        <v>185</v>
      </c>
      <c r="B195" s="5" t="inlineStr"/>
      <c r="C195" s="6" t="inlineStr">
        <is>
          <t>Reinforcing, masonry - 10 ft long inlet with 24 in. dia. outlet, constant quantity</t>
        </is>
      </c>
      <c r="D195" s="5" t="inlineStr">
        <is>
          <t>LB</t>
        </is>
      </c>
      <c r="E195" s="7" t="n">
        <v>485</v>
      </c>
      <c r="F195" s="8" t="inlineStr"/>
      <c r="G195" s="8" t="inlineStr"/>
      <c r="H195" s="9" t="n">
        <v>95</v>
      </c>
      <c r="I195" s="11" t="inlineStr">
        <is>
          <t>Engineer Review</t>
        </is>
      </c>
      <c r="J195" s="8" t="inlineStr">
        <is>
          <t>Sheet N5, Estimated Quantities table, 10 ft Long Inlet, 24 in. Dia. Outlet, Constant column</t>
        </is>
      </c>
      <c r="K195" s="8" t="inlineStr">
        <is>
          <t>Extracted from standard-detail Estimated Quantities table.</t>
        </is>
      </c>
    </row>
    <row r="196">
      <c r="A196" s="5" t="n">
        <v>186</v>
      </c>
      <c r="B196" s="5" t="inlineStr"/>
      <c r="C196" s="6" t="inlineStr">
        <is>
          <t>Reinforcing, masonry - 10 ft long inlet with 24 in. dia. outlet, variable quantity</t>
        </is>
      </c>
      <c r="D196" s="5" t="inlineStr">
        <is>
          <t>LB</t>
        </is>
      </c>
      <c r="E196" s="7" t="n">
        <v>68.59999999999999</v>
      </c>
      <c r="F196" s="8" t="inlineStr"/>
      <c r="G196" s="8" t="inlineStr"/>
      <c r="H196" s="9" t="n">
        <v>95</v>
      </c>
      <c r="I196" s="11" t="inlineStr">
        <is>
          <t>Engineer Review</t>
        </is>
      </c>
      <c r="J196" s="8" t="inlineStr">
        <is>
          <t>Sheet N5, Estimated Quantities table, 10 ft Long Inlet, 24 in. Dia. Outlet, Variable column</t>
        </is>
      </c>
      <c r="K196" s="8" t="inlineStr">
        <is>
          <t>Extracted from standard-detail Estimated Quantities table.</t>
        </is>
      </c>
    </row>
    <row r="197">
      <c r="A197" s="5" t="n">
        <v>187</v>
      </c>
      <c r="B197" s="5" t="inlineStr"/>
      <c r="C197" s="6" t="inlineStr">
        <is>
          <t>Manhole rim &amp; cover type J - 10 ft long inlet with 24 in. dia. outlet</t>
        </is>
      </c>
      <c r="D197" s="5" t="inlineStr">
        <is>
          <t>EA</t>
        </is>
      </c>
      <c r="E197" s="7" t="n">
        <v>1</v>
      </c>
      <c r="F197" s="8" t="inlineStr"/>
      <c r="G197" s="8" t="inlineStr"/>
      <c r="H197" s="9" t="n">
        <v>95</v>
      </c>
      <c r="I197" s="11" t="inlineStr">
        <is>
          <t>Engineer Review</t>
        </is>
      </c>
      <c r="J197" s="8" t="inlineStr">
        <is>
          <t>Sheet N5, Estimated Quantities table, 10 ft Long Inlet, 24 in. Dia. Outlet, Constant column</t>
        </is>
      </c>
      <c r="K197" s="8" t="inlineStr">
        <is>
          <t>Extracted from standard-detail Estimated Quantities table.</t>
        </is>
      </c>
    </row>
    <row r="198">
      <c r="A198" s="5" t="n">
        <v>188</v>
      </c>
      <c r="B198" s="5" t="inlineStr"/>
      <c r="C198" s="6" t="inlineStr">
        <is>
          <t>Class M6 concrete - 27 in. dia. outlet, constant quantity</t>
        </is>
      </c>
      <c r="D198" s="5" t="inlineStr">
        <is>
          <t>CY</t>
        </is>
      </c>
      <c r="E198" s="7" t="n">
        <v>3.17</v>
      </c>
      <c r="F198" s="8" t="inlineStr"/>
      <c r="G198" s="8" t="inlineStr"/>
      <c r="H198" s="9" t="n">
        <v>95</v>
      </c>
      <c r="I198" s="11" t="inlineStr">
        <is>
          <t>Engineer Review</t>
        </is>
      </c>
      <c r="J198" s="8" t="inlineStr">
        <is>
          <t>Sheet N5, Estimated Quantities table, 27 in. Dia. Outlet, Constant column</t>
        </is>
      </c>
      <c r="K198" s="8" t="inlineStr">
        <is>
          <t>Extracted from standard-detail Estimated Quantities table.</t>
        </is>
      </c>
    </row>
    <row r="199">
      <c r="A199" s="5" t="n">
        <v>189</v>
      </c>
      <c r="B199" s="5" t="inlineStr"/>
      <c r="C199" s="6" t="inlineStr">
        <is>
          <t>Class M6 concrete - 27 in. dia. outlet, variable quantity</t>
        </is>
      </c>
      <c r="D199" s="5" t="inlineStr">
        <is>
          <t>CY</t>
        </is>
      </c>
      <c r="E199" s="7" t="n">
        <v>0.49</v>
      </c>
      <c r="F199" s="8" t="inlineStr"/>
      <c r="G199" s="8" t="inlineStr"/>
      <c r="H199" s="9" t="n">
        <v>95</v>
      </c>
      <c r="I199" s="11" t="inlineStr">
        <is>
          <t>Engineer Review</t>
        </is>
      </c>
      <c r="J199" s="8" t="inlineStr">
        <is>
          <t>Sheet N5, Estimated Quantities table, 27 in. Dia. Outlet, Variable column</t>
        </is>
      </c>
      <c r="K199" s="8" t="inlineStr">
        <is>
          <t>Extracted from standard-detail Estimated Quantities table; variable quantity is to be reduced per pipe/combination note.</t>
        </is>
      </c>
    </row>
    <row r="200">
      <c r="A200" s="5" t="n">
        <v>190</v>
      </c>
      <c r="B200" s="5" t="inlineStr"/>
      <c r="C200" s="6" t="inlineStr">
        <is>
          <t>Reinforcing, masonry - 27 in. dia. outlet, constant quantity</t>
        </is>
      </c>
      <c r="D200" s="5" t="inlineStr">
        <is>
          <t>LB</t>
        </is>
      </c>
      <c r="E200" s="7" t="n">
        <v>528</v>
      </c>
      <c r="F200" s="8" t="inlineStr"/>
      <c r="G200" s="8" t="inlineStr"/>
      <c r="H200" s="9" t="n">
        <v>95</v>
      </c>
      <c r="I200" s="11" t="inlineStr">
        <is>
          <t>Engineer Review</t>
        </is>
      </c>
      <c r="J200" s="8" t="inlineStr">
        <is>
          <t>Sheet N5, Estimated Quantities table, 27 in. Dia. Outlet, Constant column</t>
        </is>
      </c>
      <c r="K200" s="8" t="inlineStr">
        <is>
          <t>Extracted from standard-detail Estimated Quantities table.</t>
        </is>
      </c>
    </row>
    <row r="201">
      <c r="A201" s="5" t="n">
        <v>191</v>
      </c>
      <c r="B201" s="5" t="inlineStr"/>
      <c r="C201" s="6" t="inlineStr">
        <is>
          <t>Reinforcing, masonry - 27 in. dia. outlet, variable quantity</t>
        </is>
      </c>
      <c r="D201" s="5" t="inlineStr">
        <is>
          <t>LB</t>
        </is>
      </c>
      <c r="E201" s="7" t="n">
        <v>68.59999999999999</v>
      </c>
      <c r="F201" s="8" t="inlineStr"/>
      <c r="G201" s="8" t="inlineStr"/>
      <c r="H201" s="9" t="n">
        <v>95</v>
      </c>
      <c r="I201" s="11" t="inlineStr">
        <is>
          <t>Engineer Review</t>
        </is>
      </c>
      <c r="J201" s="8" t="inlineStr">
        <is>
          <t>Sheet N5, Estimated Quantities table, 27 in. Dia. Outlet, Variable column</t>
        </is>
      </c>
      <c r="K201" s="8" t="inlineStr">
        <is>
          <t>Extracted from standard-detail Estimated Quantities table.</t>
        </is>
      </c>
    </row>
    <row r="202">
      <c r="A202" s="5" t="n">
        <v>192</v>
      </c>
      <c r="B202" s="5" t="inlineStr"/>
      <c r="C202" s="6" t="inlineStr">
        <is>
          <t>Manhole rim &amp; cover type J - 27 in. dia. outlet</t>
        </is>
      </c>
      <c r="D202" s="5" t="inlineStr">
        <is>
          <t>EA</t>
        </is>
      </c>
      <c r="E202" s="7" t="n">
        <v>1</v>
      </c>
      <c r="F202" s="8" t="inlineStr"/>
      <c r="G202" s="8" t="inlineStr"/>
      <c r="H202" s="9" t="n">
        <v>95</v>
      </c>
      <c r="I202" s="11" t="inlineStr">
        <is>
          <t>Engineer Review</t>
        </is>
      </c>
      <c r="J202" s="8" t="inlineStr">
        <is>
          <t>Sheet N5, Estimated Quantities table, 27 in. Dia. Outlet, Constant column</t>
        </is>
      </c>
      <c r="K202" s="8" t="inlineStr">
        <is>
          <t>Extracted from standard-detail Estimated Quantities table.</t>
        </is>
      </c>
    </row>
    <row r="203">
      <c r="A203" s="5" t="n">
        <v>193</v>
      </c>
      <c r="B203" s="5" t="inlineStr"/>
      <c r="C203" s="6" t="inlineStr">
        <is>
          <t>Class M6 concrete - 30 in. dia. outlet, constant quantity</t>
        </is>
      </c>
      <c r="D203" s="5" t="inlineStr">
        <is>
          <t>CY</t>
        </is>
      </c>
      <c r="E203" s="7" t="n">
        <v>3.31</v>
      </c>
      <c r="F203" s="8" t="inlineStr"/>
      <c r="G203" s="8" t="inlineStr"/>
      <c r="H203" s="9" t="n">
        <v>95</v>
      </c>
      <c r="I203" s="11" t="inlineStr">
        <is>
          <t>Engineer Review</t>
        </is>
      </c>
      <c r="J203" s="8" t="inlineStr">
        <is>
          <t>Sheet N5, Estimated Quantities table, 30 in. Dia. Outlet, Constant column</t>
        </is>
      </c>
      <c r="K203" s="8" t="inlineStr">
        <is>
          <t>Extracted from standard-detail Estimated Quantities table.</t>
        </is>
      </c>
    </row>
    <row r="204">
      <c r="A204" s="5" t="n">
        <v>194</v>
      </c>
      <c r="B204" s="5" t="inlineStr"/>
      <c r="C204" s="6" t="inlineStr">
        <is>
          <t>Class M6 concrete - 30 in. dia. outlet, variable quantity</t>
        </is>
      </c>
      <c r="D204" s="5" t="inlineStr">
        <is>
          <t>CY</t>
        </is>
      </c>
      <c r="E204" s="7" t="n">
        <v>0.49</v>
      </c>
      <c r="F204" s="8" t="inlineStr"/>
      <c r="G204" s="8" t="inlineStr"/>
      <c r="H204" s="9" t="n">
        <v>95</v>
      </c>
      <c r="I204" s="11" t="inlineStr">
        <is>
          <t>Engineer Review</t>
        </is>
      </c>
      <c r="J204" s="8" t="inlineStr">
        <is>
          <t>Sheet N5, Estimated Quantities table, 30 in. Dia. Outlet, Variable column</t>
        </is>
      </c>
      <c r="K204" s="8" t="inlineStr">
        <is>
          <t>Extracted from standard-detail Estimated Quantities table; variable quantity is to be reduced per pipe/combination note.</t>
        </is>
      </c>
    </row>
    <row r="205">
      <c r="A205" s="5" t="n">
        <v>195</v>
      </c>
      <c r="B205" s="5" t="inlineStr"/>
      <c r="C205" s="6" t="inlineStr">
        <is>
          <t>Reinforcing, masonry - 30 in. dia. outlet, constant quantity</t>
        </is>
      </c>
      <c r="D205" s="5" t="inlineStr">
        <is>
          <t>LB</t>
        </is>
      </c>
      <c r="E205" s="7" t="n">
        <v>538</v>
      </c>
      <c r="F205" s="8" t="inlineStr"/>
      <c r="G205" s="8" t="inlineStr"/>
      <c r="H205" s="9" t="n">
        <v>95</v>
      </c>
      <c r="I205" s="11" t="inlineStr">
        <is>
          <t>Engineer Review</t>
        </is>
      </c>
      <c r="J205" s="8" t="inlineStr">
        <is>
          <t>Sheet N5, Estimated Quantities table, 30 in. Dia. Outlet, Constant column</t>
        </is>
      </c>
      <c r="K205" s="8" t="inlineStr">
        <is>
          <t>Extracted from standard-detail Estimated Quantities table.</t>
        </is>
      </c>
    </row>
    <row r="206">
      <c r="A206" s="5" t="n">
        <v>196</v>
      </c>
      <c r="B206" s="5" t="inlineStr"/>
      <c r="C206" s="6" t="inlineStr">
        <is>
          <t>Reinforcing, masonry - 30 in. dia. outlet, variable quantity</t>
        </is>
      </c>
      <c r="D206" s="5" t="inlineStr">
        <is>
          <t>LB</t>
        </is>
      </c>
      <c r="E206" s="7" t="n">
        <v>68.59999999999999</v>
      </c>
      <c r="F206" s="8" t="inlineStr"/>
      <c r="G206" s="8" t="inlineStr"/>
      <c r="H206" s="9" t="n">
        <v>95</v>
      </c>
      <c r="I206" s="11" t="inlineStr">
        <is>
          <t>Engineer Review</t>
        </is>
      </c>
      <c r="J206" s="8" t="inlineStr">
        <is>
          <t>Sheet N5, Estimated Quantities table, 30 in. Dia. Outlet, Variable column</t>
        </is>
      </c>
      <c r="K206" s="8" t="inlineStr">
        <is>
          <t>Extracted from standard-detail Estimated Quantities table.</t>
        </is>
      </c>
    </row>
    <row r="207">
      <c r="A207" s="5" t="n">
        <v>197</v>
      </c>
      <c r="B207" s="5" t="inlineStr"/>
      <c r="C207" s="6" t="inlineStr">
        <is>
          <t>Manhole rim &amp; cover type J - 30 in. dia. outlet</t>
        </is>
      </c>
      <c r="D207" s="5" t="inlineStr">
        <is>
          <t>EA</t>
        </is>
      </c>
      <c r="E207" s="7" t="n">
        <v>1</v>
      </c>
      <c r="F207" s="8" t="inlineStr"/>
      <c r="G207" s="8" t="inlineStr"/>
      <c r="H207" s="9" t="n">
        <v>95</v>
      </c>
      <c r="I207" s="11" t="inlineStr">
        <is>
          <t>Engineer Review</t>
        </is>
      </c>
      <c r="J207" s="8" t="inlineStr">
        <is>
          <t>Sheet N5, Estimated Quantities table, 30 in. Dia. Outlet, Constant column</t>
        </is>
      </c>
      <c r="K207" s="8" t="inlineStr">
        <is>
          <t>Extracted from standard-detail Estimated Quantities table.</t>
        </is>
      </c>
    </row>
    <row r="208">
      <c r="A208" s="5" t="n">
        <v>198</v>
      </c>
      <c r="B208" s="5" t="inlineStr"/>
      <c r="C208" s="6" t="inlineStr">
        <is>
          <t>Class M6 concrete - 24 in. arch outlet, constant quantity</t>
        </is>
      </c>
      <c r="D208" s="5" t="inlineStr">
        <is>
          <t>CY</t>
        </is>
      </c>
      <c r="E208" s="7" t="n">
        <v>2.79</v>
      </c>
      <c r="F208" s="8" t="inlineStr"/>
      <c r="G208" s="8" t="inlineStr"/>
      <c r="H208" s="9" t="n">
        <v>95</v>
      </c>
      <c r="I208" s="11" t="inlineStr">
        <is>
          <t>Engineer Review</t>
        </is>
      </c>
      <c r="J208" s="8" t="inlineStr">
        <is>
          <t>Sheet N5, Estimated Quantities table, 24 in. Arch Outlet, Constant column</t>
        </is>
      </c>
      <c r="K208" s="8" t="inlineStr">
        <is>
          <t>Extracted from standard-detail Estimated Quantities table.</t>
        </is>
      </c>
    </row>
    <row r="209">
      <c r="A209" s="5" t="n">
        <v>199</v>
      </c>
      <c r="B209" s="5" t="inlineStr"/>
      <c r="C209" s="6" t="inlineStr">
        <is>
          <t>Class M6 concrete - 24 in. arch outlet, variable quantity</t>
        </is>
      </c>
      <c r="D209" s="5" t="inlineStr">
        <is>
          <t>CY</t>
        </is>
      </c>
      <c r="E209" s="7" t="n">
        <v>0.49</v>
      </c>
      <c r="F209" s="8" t="inlineStr"/>
      <c r="G209" s="8" t="inlineStr"/>
      <c r="H209" s="9" t="n">
        <v>95</v>
      </c>
      <c r="I209" s="11" t="inlineStr">
        <is>
          <t>Engineer Review</t>
        </is>
      </c>
      <c r="J209" s="8" t="inlineStr">
        <is>
          <t>Sheet N5, Estimated Quantities table, 24 in. Arch Outlet, Variable column</t>
        </is>
      </c>
      <c r="K209" s="8" t="inlineStr">
        <is>
          <t>Extracted from standard-detail Estimated Quantities table; variable quantity is to be reduced per pipe/combination note.</t>
        </is>
      </c>
    </row>
    <row r="210">
      <c r="A210" s="5" t="n">
        <v>200</v>
      </c>
      <c r="B210" s="5" t="inlineStr"/>
      <c r="C210" s="6" t="inlineStr">
        <is>
          <t>Reinforcing, masonry - 24 in. arch outlet, constant quantity</t>
        </is>
      </c>
      <c r="D210" s="5" t="inlineStr">
        <is>
          <t>LB</t>
        </is>
      </c>
      <c r="E210" s="7" t="n">
        <v>469</v>
      </c>
      <c r="F210" s="8" t="inlineStr"/>
      <c r="G210" s="8" t="inlineStr"/>
      <c r="H210" s="9" t="n">
        <v>95</v>
      </c>
      <c r="I210" s="11" t="inlineStr">
        <is>
          <t>Engineer Review</t>
        </is>
      </c>
      <c r="J210" s="8" t="inlineStr">
        <is>
          <t>Sheet N5, Estimated Quantities table, 24 in. Arch Outlet, Constant column</t>
        </is>
      </c>
      <c r="K210" s="8" t="inlineStr">
        <is>
          <t>Extracted from standard-detail Estimated Quantities table.</t>
        </is>
      </c>
    </row>
    <row r="211">
      <c r="A211" s="5" t="n">
        <v>201</v>
      </c>
      <c r="B211" s="5" t="inlineStr"/>
      <c r="C211" s="6" t="inlineStr">
        <is>
          <t>Reinforcing, masonry - 24 in. arch outlet, variable quantity</t>
        </is>
      </c>
      <c r="D211" s="5" t="inlineStr">
        <is>
          <t>LB</t>
        </is>
      </c>
      <c r="E211" s="7" t="n">
        <v>68.59999999999999</v>
      </c>
      <c r="F211" s="8" t="inlineStr"/>
      <c r="G211" s="8" t="inlineStr"/>
      <c r="H211" s="9" t="n">
        <v>95</v>
      </c>
      <c r="I211" s="11" t="inlineStr">
        <is>
          <t>Engineer Review</t>
        </is>
      </c>
      <c r="J211" s="8" t="inlineStr">
        <is>
          <t>Sheet N5, Estimated Quantities table, 24 in. Arch Outlet, Variable column</t>
        </is>
      </c>
      <c r="K211" s="8" t="inlineStr">
        <is>
          <t>Extracted from standard-detail Estimated Quantities table.</t>
        </is>
      </c>
    </row>
    <row r="212">
      <c r="A212" s="5" t="n">
        <v>202</v>
      </c>
      <c r="B212" s="5" t="inlineStr"/>
      <c r="C212" s="6" t="inlineStr">
        <is>
          <t>Manhole rim &amp; cover type J - 24 in. arch outlet</t>
        </is>
      </c>
      <c r="D212" s="5" t="inlineStr">
        <is>
          <t>EA</t>
        </is>
      </c>
      <c r="E212" s="7" t="n">
        <v>1</v>
      </c>
      <c r="F212" s="8" t="inlineStr"/>
      <c r="G212" s="8" t="inlineStr"/>
      <c r="H212" s="9" t="n">
        <v>95</v>
      </c>
      <c r="I212" s="11" t="inlineStr">
        <is>
          <t>Engineer Review</t>
        </is>
      </c>
      <c r="J212" s="8" t="inlineStr">
        <is>
          <t>Sheet N5, Estimated Quantities table, 24 in. Arch Outlet, Constant column</t>
        </is>
      </c>
      <c r="K212" s="8" t="inlineStr">
        <is>
          <t>Extracted from standard-detail Estimated Quantities table.</t>
        </is>
      </c>
    </row>
    <row r="213">
      <c r="A213" s="5" t="n">
        <v>203</v>
      </c>
      <c r="B213" s="5" t="inlineStr"/>
      <c r="C213" s="6" t="inlineStr">
        <is>
          <t>Class M6 concrete - 4 ft x 4 ft junction box, constant quantity</t>
        </is>
      </c>
      <c r="D213" s="5" t="inlineStr">
        <is>
          <t>CY</t>
        </is>
      </c>
      <c r="E213" s="7" t="n">
        <v>1.29</v>
      </c>
      <c r="F213" s="8" t="inlineStr"/>
      <c r="G213" s="8" t="inlineStr"/>
      <c r="H213" s="9" t="n">
        <v>95</v>
      </c>
      <c r="I213" s="11" t="inlineStr">
        <is>
          <t>Engineer Review</t>
        </is>
      </c>
      <c r="J213" s="8" t="inlineStr">
        <is>
          <t>Sheet N6, Type I Junction Box for Storm Water, Estimated Quantities table, 4 ft x 4 ft Junction Box, Constant column</t>
        </is>
      </c>
      <c r="K213" s="8" t="inlineStr">
        <is>
          <t>Extracted from standard-detail Estimated Quantities table.</t>
        </is>
      </c>
    </row>
    <row r="214">
      <c r="A214" s="5" t="n">
        <v>204</v>
      </c>
      <c r="B214" s="5" t="inlineStr"/>
      <c r="C214" s="6" t="inlineStr">
        <is>
          <t>Class M6 concrete - 4 ft x 4 ft junction box, variable quantity</t>
        </is>
      </c>
      <c r="D214" s="5" t="inlineStr">
        <is>
          <t>CY</t>
        </is>
      </c>
      <c r="E214" s="7" t="n">
        <v>0.48</v>
      </c>
      <c r="F214" s="8" t="inlineStr"/>
      <c r="G214" s="8" t="inlineStr"/>
      <c r="H214" s="9" t="n">
        <v>95</v>
      </c>
      <c r="I214" s="11" t="inlineStr">
        <is>
          <t>Engineer Review</t>
        </is>
      </c>
      <c r="J214" s="8" t="inlineStr">
        <is>
          <t>Sheet N6, Type I Junction Box for Storm Water, Estimated Quantities table, 4 ft x 4 ft Junction Box, Variable column</t>
        </is>
      </c>
      <c r="K214" s="8" t="inlineStr">
        <is>
          <t>Extracted from standard-detail Estimated Quantities table; variable amount depends on pipe configuration.</t>
        </is>
      </c>
    </row>
    <row r="215">
      <c r="A215" s="5" t="n">
        <v>205</v>
      </c>
      <c r="B215" s="5" t="inlineStr"/>
      <c r="C215" s="6" t="inlineStr">
        <is>
          <t>Reinforcing, masonry - 4 ft x 4 ft junction box, constant quantity</t>
        </is>
      </c>
      <c r="D215" s="5" t="inlineStr">
        <is>
          <t>LB</t>
        </is>
      </c>
      <c r="E215" s="7" t="n">
        <v>138</v>
      </c>
      <c r="F215" s="8" t="inlineStr"/>
      <c r="G215" s="8" t="inlineStr"/>
      <c r="H215" s="9" t="n">
        <v>95</v>
      </c>
      <c r="I215" s="11" t="inlineStr">
        <is>
          <t>Engineer Review</t>
        </is>
      </c>
      <c r="J215" s="8" t="inlineStr">
        <is>
          <t>Sheet N6, Type I Junction Box for Storm Water, Estimated Quantities table, 4 ft x 4 ft Junction Box, Constant column</t>
        </is>
      </c>
      <c r="K215" s="8" t="inlineStr">
        <is>
          <t>Extracted from standard-detail Estimated Quantities table.</t>
        </is>
      </c>
    </row>
    <row r="216">
      <c r="A216" s="5" t="n">
        <v>206</v>
      </c>
      <c r="B216" s="5" t="inlineStr"/>
      <c r="C216" s="6" t="inlineStr">
        <is>
          <t>Reinforcing, masonry - 4 ft x 4 ft junction box, variable quantity</t>
        </is>
      </c>
      <c r="D216" s="5" t="inlineStr">
        <is>
          <t>LB</t>
        </is>
      </c>
      <c r="E216" s="7" t="n">
        <v>43</v>
      </c>
      <c r="F216" s="8" t="inlineStr"/>
      <c r="G216" s="8" t="inlineStr"/>
      <c r="H216" s="9" t="n">
        <v>95</v>
      </c>
      <c r="I216" s="11" t="inlineStr">
        <is>
          <t>Engineer Review</t>
        </is>
      </c>
      <c r="J216" s="8" t="inlineStr">
        <is>
          <t>Sheet N6, Type I Junction Box for Storm Water, Estimated Quantities table, 4 ft x 4 ft Junction Box, Variable column</t>
        </is>
      </c>
      <c r="K216" s="8" t="inlineStr">
        <is>
          <t>Extracted from standard-detail Estimated Quantities table; variable amount depends on pipe configuration.</t>
        </is>
      </c>
    </row>
    <row r="217">
      <c r="A217" s="5" t="n">
        <v>207</v>
      </c>
      <c r="B217" s="5" t="inlineStr"/>
      <c r="C217" s="6" t="inlineStr">
        <is>
          <t>Manhole rim &amp; cover as specified - 4 ft x 4 ft junction box</t>
        </is>
      </c>
      <c r="D217" s="5" t="inlineStr">
        <is>
          <t>EA</t>
        </is>
      </c>
      <c r="E217" s="7" t="n">
        <v>1</v>
      </c>
      <c r="F217" s="8" t="inlineStr"/>
      <c r="G217" s="8" t="inlineStr"/>
      <c r="H217" s="9" t="n">
        <v>95</v>
      </c>
      <c r="I217" s="11" t="inlineStr">
        <is>
          <t>Engineer Review</t>
        </is>
      </c>
      <c r="J217" s="8" t="inlineStr">
        <is>
          <t>Sheet N6, Type I Junction Box for Storm Water, Estimated Quantities table, 4 ft x 4 ft Junction Box, Constant column</t>
        </is>
      </c>
      <c r="K217" s="8" t="inlineStr">
        <is>
          <t>Extracted from standard-detail Estimated Quantities table.</t>
        </is>
      </c>
    </row>
    <row r="218">
      <c r="A218" s="5" t="n">
        <v>208</v>
      </c>
      <c r="B218" s="5" t="inlineStr"/>
      <c r="C218" s="6" t="inlineStr">
        <is>
          <t>Class M6 concrete - 5 ft x 5 ft junction box, constant quantity</t>
        </is>
      </c>
      <c r="D218" s="5" t="inlineStr">
        <is>
          <t>CY</t>
        </is>
      </c>
      <c r="E218" s="7" t="n">
        <v>1.93</v>
      </c>
      <c r="F218" s="8" t="inlineStr"/>
      <c r="G218" s="8" t="inlineStr"/>
      <c r="H218" s="9" t="n">
        <v>95</v>
      </c>
      <c r="I218" s="11" t="inlineStr">
        <is>
          <t>Engineer Review</t>
        </is>
      </c>
      <c r="J218" s="8" t="inlineStr">
        <is>
          <t>Sheet N6, Type I Junction Box for Storm Water, Estimated Quantities table, 5 ft x 5 ft Junction Box, Constant column</t>
        </is>
      </c>
      <c r="K218" s="8" t="inlineStr">
        <is>
          <t>Extracted from standard-detail Estimated Quantities table.</t>
        </is>
      </c>
    </row>
    <row r="219">
      <c r="A219" s="5" t="n">
        <v>209</v>
      </c>
      <c r="B219" s="5" t="inlineStr"/>
      <c r="C219" s="6" t="inlineStr">
        <is>
          <t>Class M6 concrete - 5 ft x 5 ft junction box, variable quantity</t>
        </is>
      </c>
      <c r="D219" s="5" t="inlineStr">
        <is>
          <t>CY</t>
        </is>
      </c>
      <c r="E219" s="7" t="n">
        <v>0.5600000000000001</v>
      </c>
      <c r="F219" s="8" t="inlineStr"/>
      <c r="G219" s="8" t="inlineStr"/>
      <c r="H219" s="9" t="n">
        <v>95</v>
      </c>
      <c r="I219" s="11" t="inlineStr">
        <is>
          <t>Engineer Review</t>
        </is>
      </c>
      <c r="J219" s="8" t="inlineStr">
        <is>
          <t>Sheet N6, Type I Junction Box for Storm Water, Estimated Quantities table, 5 ft x 5 ft Junction Box, Variable column</t>
        </is>
      </c>
      <c r="K219" s="8" t="inlineStr">
        <is>
          <t>Extracted from standard-detail Estimated Quantities table; variable amount depends on pipe configuration.</t>
        </is>
      </c>
    </row>
    <row r="220">
      <c r="A220" s="5" t="n">
        <v>210</v>
      </c>
      <c r="B220" s="5" t="inlineStr"/>
      <c r="C220" s="6" t="inlineStr">
        <is>
          <t>Reinforcing, masonry - 5 ft x 5 ft junction box, constant quantity</t>
        </is>
      </c>
      <c r="D220" s="5" t="inlineStr">
        <is>
          <t>LB</t>
        </is>
      </c>
      <c r="E220" s="7" t="n">
        <v>131</v>
      </c>
      <c r="F220" s="8" t="inlineStr"/>
      <c r="G220" s="8" t="inlineStr"/>
      <c r="H220" s="9" t="n">
        <v>95</v>
      </c>
      <c r="I220" s="11" t="inlineStr">
        <is>
          <t>Engineer Review</t>
        </is>
      </c>
      <c r="J220" s="8" t="inlineStr">
        <is>
          <t>Sheet N6, Type I Junction Box for Storm Water, Estimated Quantities table, 5 ft x 5 ft Junction Box, Constant column</t>
        </is>
      </c>
      <c r="K220" s="8" t="inlineStr">
        <is>
          <t>Extracted from standard-detail Estimated Quantities table.</t>
        </is>
      </c>
    </row>
    <row r="221">
      <c r="A221" s="5" t="n">
        <v>211</v>
      </c>
      <c r="B221" s="5" t="inlineStr"/>
      <c r="C221" s="6" t="inlineStr">
        <is>
          <t>Reinforcing, masonry - 5 ft x 5 ft junction box, variable quantity</t>
        </is>
      </c>
      <c r="D221" s="5" t="inlineStr">
        <is>
          <t>LB</t>
        </is>
      </c>
      <c r="E221" s="7" t="n">
        <v>35</v>
      </c>
      <c r="F221" s="8" t="inlineStr"/>
      <c r="G221" s="8" t="inlineStr"/>
      <c r="H221" s="9" t="n">
        <v>95</v>
      </c>
      <c r="I221" s="11" t="inlineStr">
        <is>
          <t>Engineer Review</t>
        </is>
      </c>
      <c r="J221" s="8" t="inlineStr">
        <is>
          <t>Sheet N6, Type I Junction Box for Storm Water, Estimated Quantities table, 5 ft x 5 ft Junction Box, Variable column</t>
        </is>
      </c>
      <c r="K221" s="8" t="inlineStr">
        <is>
          <t>Extracted from standard-detail Estimated Quantities table; variable amount depends on pipe configuration.</t>
        </is>
      </c>
    </row>
    <row r="222">
      <c r="A222" s="5" t="n">
        <v>212</v>
      </c>
      <c r="B222" s="5" t="inlineStr"/>
      <c r="C222" s="6" t="inlineStr">
        <is>
          <t>Manhole rim &amp; cover as specified - 5 ft x 5 ft junction box</t>
        </is>
      </c>
      <c r="D222" s="5" t="inlineStr">
        <is>
          <t>EA</t>
        </is>
      </c>
      <c r="E222" s="7" t="n">
        <v>1</v>
      </c>
      <c r="F222" s="8" t="inlineStr"/>
      <c r="G222" s="8" t="inlineStr"/>
      <c r="H222" s="9" t="n">
        <v>95</v>
      </c>
      <c r="I222" s="11" t="inlineStr">
        <is>
          <t>Engineer Review</t>
        </is>
      </c>
      <c r="J222" s="8" t="inlineStr">
        <is>
          <t>Sheet N6, Type I Junction Box for Storm Water, Estimated Quantities table, 5 ft x 5 ft Junction Box, Constant column</t>
        </is>
      </c>
      <c r="K222" s="8" t="inlineStr">
        <is>
          <t>Extracted from standard-detail Estimated Quantities table.</t>
        </is>
      </c>
    </row>
    <row r="223">
      <c r="A223" s="5" t="n">
        <v>213</v>
      </c>
      <c r="B223" s="5" t="inlineStr"/>
      <c r="C223" s="6" t="inlineStr">
        <is>
          <t>Class M6 concrete - 2 ft x 2 ft catch basin, constant quantity</t>
        </is>
      </c>
      <c r="D223" s="5" t="inlineStr">
        <is>
          <t>CY</t>
        </is>
      </c>
      <c r="E223" s="7" t="n">
        <v>0.17</v>
      </c>
      <c r="F223" s="8" t="inlineStr"/>
      <c r="G223" s="8" t="inlineStr"/>
      <c r="H223" s="9" t="n">
        <v>95</v>
      </c>
      <c r="I223" s="11" t="inlineStr">
        <is>
          <t>Engineer Review</t>
        </is>
      </c>
      <c r="J223" s="8" t="inlineStr">
        <is>
          <t>Sheet N6, 2 ft x 2 ft Catch Basin for Storm Water, Estimated Quantities table, Constant column</t>
        </is>
      </c>
      <c r="K223" s="8" t="inlineStr">
        <is>
          <t>Extracted from standard-detail Estimated Quantities table.</t>
        </is>
      </c>
    </row>
    <row r="224">
      <c r="A224" s="5" t="n">
        <v>214</v>
      </c>
      <c r="B224" s="5" t="inlineStr"/>
      <c r="C224" s="6" t="inlineStr">
        <is>
          <t>Class M6 concrete - 2 ft x 2 ft catch basin, variable quantity</t>
        </is>
      </c>
      <c r="D224" s="5" t="inlineStr">
        <is>
          <t>CY</t>
        </is>
      </c>
      <c r="E224" s="7" t="n">
        <v>0.19</v>
      </c>
      <c r="F224" s="8" t="inlineStr"/>
      <c r="G224" s="8" t="inlineStr"/>
      <c r="H224" s="9" t="n">
        <v>95</v>
      </c>
      <c r="I224" s="11" t="inlineStr">
        <is>
          <t>Engineer Review</t>
        </is>
      </c>
      <c r="J224" s="8" t="inlineStr">
        <is>
          <t>Sheet N6, 2 ft x 2 ft Catch Basin for Storm Water, Estimated Quantities table, Variable column</t>
        </is>
      </c>
      <c r="K224" s="8" t="inlineStr">
        <is>
          <t>Extracted from standard-detail Estimated Quantities table; variable amount depends on pipe configuration.</t>
        </is>
      </c>
    </row>
    <row r="225">
      <c r="A225" s="5" t="n">
        <v>215</v>
      </c>
      <c r="B225" s="5" t="inlineStr"/>
      <c r="C225" s="6" t="inlineStr">
        <is>
          <t>Reinforcing, masonry - 2 ft x 2 ft catch basin</t>
        </is>
      </c>
      <c r="D225" s="5" t="inlineStr">
        <is>
          <t>LB</t>
        </is>
      </c>
      <c r="E225" s="7" t="n">
        <v>16</v>
      </c>
      <c r="F225" s="8" t="inlineStr"/>
      <c r="G225" s="8" t="inlineStr"/>
      <c r="H225" s="9" t="n">
        <v>95</v>
      </c>
      <c r="I225" s="11" t="inlineStr">
        <is>
          <t>Engineer Review</t>
        </is>
      </c>
      <c r="J225" s="8" t="inlineStr">
        <is>
          <t>Sheet N6, 2 ft x 2 ft Catch Basin for Storm Water, Estimated Quantities table, Constant column</t>
        </is>
      </c>
      <c r="K225" s="8" t="inlineStr">
        <is>
          <t>Extracted from standard-detail Estimated Quantities table.</t>
        </is>
      </c>
    </row>
    <row r="226">
      <c r="A226" s="5" t="n">
        <v>216</v>
      </c>
      <c r="B226" s="5" t="inlineStr"/>
      <c r="C226" s="6" t="inlineStr">
        <is>
          <t>Class M6 Concrete (See Notes to Designer Note 5.)</t>
        </is>
      </c>
      <c r="D226" s="5" t="inlineStr">
        <is>
          <t>CY</t>
        </is>
      </c>
      <c r="E226" s="7" t="n">
        <v>6.8</v>
      </c>
      <c r="F226" s="8" t="inlineStr"/>
      <c r="G226" s="8" t="inlineStr"/>
      <c r="H226" s="9" t="n">
        <v>93</v>
      </c>
      <c r="I226" s="11" t="inlineStr">
        <is>
          <t>Engineer Review</t>
        </is>
      </c>
      <c r="J226" s="8" t="inlineStr">
        <is>
          <t>Type B Inlet Design Example, Quantities Continued; example inlet W=5.0 ft, H=6.00 ft, B=1.5 ft, n=4</t>
        </is>
      </c>
      <c r="K226" s="8" t="inlineStr">
        <is>
          <t>Extracted from completed example calculation: gross concrete quantity 7.68 Cu.Yd. less pipe displacement reductions of 0.34 Cu.Yd. for each 48 in pipe and 0.20 Cu.Yd. for one 36 in pipe; 7.68 - 0.34 - 0.34 - 0.20 = 6.80 Cu.Yd.</t>
        </is>
      </c>
    </row>
    <row r="227">
      <c r="A227" s="5" t="n">
        <v>217</v>
      </c>
      <c r="B227" s="5" t="inlineStr"/>
      <c r="C227" s="6" t="inlineStr">
        <is>
          <t>Type B Frame and Grate Assembly - No Flange</t>
        </is>
      </c>
      <c r="D227" s="5" t="inlineStr">
        <is>
          <t>EA</t>
        </is>
      </c>
      <c r="E227" s="7" t="n">
        <v>2</v>
      </c>
      <c r="F227" s="8" t="inlineStr"/>
      <c r="G227" s="8" t="inlineStr"/>
      <c r="H227" s="9" t="n">
        <v>93</v>
      </c>
      <c r="I227" s="11" t="inlineStr">
        <is>
          <t>Engineer Review</t>
        </is>
      </c>
      <c r="J227" s="8" t="inlineStr">
        <is>
          <t>Type B Inlet Design Example, frame and grate quantity box</t>
        </is>
      </c>
      <c r="K227" s="8" t="inlineStr">
        <is>
          <t>Extracted from the example frame-and-grate determination for n=4 frames and grates: No Flange = 2. Generic formula on sheet 162 is n - 2 when n is greater than 2.</t>
        </is>
      </c>
    </row>
    <row r="228">
      <c r="A228" s="5" t="n">
        <v>218</v>
      </c>
      <c r="B228" s="5" t="inlineStr"/>
      <c r="C228" s="6" t="inlineStr">
        <is>
          <t>Type B Frame and Grate Assembly - Right &amp; Left Flange</t>
        </is>
      </c>
      <c r="D228" s="5" t="inlineStr">
        <is>
          <t>EA</t>
        </is>
      </c>
      <c r="E228" s="7" t="n">
        <v>0</v>
      </c>
      <c r="F228" s="8" t="inlineStr"/>
      <c r="G228" s="8" t="inlineStr"/>
      <c r="H228" s="9" t="n">
        <v>93</v>
      </c>
      <c r="I228" s="11" t="inlineStr">
        <is>
          <t>Engineer Review</t>
        </is>
      </c>
      <c r="J228" s="8" t="inlineStr">
        <is>
          <t>Type B Inlet Design Example, frame and grate quantity box</t>
        </is>
      </c>
      <c r="K228" s="8" t="inlineStr">
        <is>
          <t>Extracted from the example frame-and-grate determination for n=4 frames and grates: Right &amp; Left Flange = 0. Generic formula on sheet 162 applies only when n=1.</t>
        </is>
      </c>
    </row>
    <row r="229">
      <c r="A229" s="3" t="inlineStr">
        <is>
          <t>Watermain</t>
        </is>
      </c>
      <c r="B229" s="4" t="n"/>
      <c r="C229" s="4" t="n"/>
      <c r="D229" s="4" t="n"/>
      <c r="E229" s="4" t="n"/>
      <c r="F229" s="4" t="n"/>
      <c r="G229" s="4" t="n"/>
      <c r="H229" s="4" t="n"/>
      <c r="I229" s="4" t="n"/>
      <c r="J229" s="4" t="n"/>
      <c r="K229" s="4" t="n"/>
    </row>
    <row r="230">
      <c r="A230" s="5" t="n">
        <v>219</v>
      </c>
      <c r="B230" s="5" t="inlineStr"/>
      <c r="C230" s="6" t="inlineStr">
        <is>
          <t>Fire Hydrant</t>
        </is>
      </c>
      <c r="D230" s="5" t="inlineStr">
        <is>
          <t>EA</t>
        </is>
      </c>
      <c r="E230" s="7" t="n">
        <v>10</v>
      </c>
      <c r="F230" s="8" t="inlineStr"/>
      <c r="G230" s="8" t="inlineStr"/>
      <c r="H230" s="9" t="n">
        <v>98</v>
      </c>
      <c r="I230" s="10" t="inlineStr">
        <is>
          <t>Verified</t>
        </is>
      </c>
      <c r="J230" s="8" t="inlineStr">
        <is>
          <t>Table of Fire Hydrants</t>
        </is>
      </c>
      <c r="K230" s="8" t="inlineStr">
        <is>
          <t>Extracted table total.</t>
        </is>
      </c>
    </row>
    <row r="231">
      <c r="A231" s="5" t="n">
        <v>220</v>
      </c>
      <c r="B231" s="5" t="inlineStr"/>
      <c r="C231" s="6" t="inlineStr">
        <is>
          <t>16 inch C900 DR 18 PVC Water Main</t>
        </is>
      </c>
      <c r="D231" s="5" t="inlineStr">
        <is>
          <t>LF</t>
        </is>
      </c>
      <c r="E231" s="7" t="n">
        <v>2286</v>
      </c>
      <c r="F231" s="8" t="inlineStr"/>
      <c r="G231" s="8" t="inlineStr"/>
      <c r="H231" s="9" t="n">
        <v>98</v>
      </c>
      <c r="I231" s="10" t="inlineStr">
        <is>
          <t>Verified</t>
        </is>
      </c>
      <c r="J231" s="8" t="inlineStr">
        <is>
          <t>Table of Water Main Pipe Quantities</t>
        </is>
      </c>
      <c r="K231" s="8" t="inlineStr">
        <is>
          <t>Extracted table total.</t>
        </is>
      </c>
    </row>
    <row r="232">
      <c r="A232" s="5" t="n">
        <v>221</v>
      </c>
      <c r="B232" s="5" t="inlineStr"/>
      <c r="C232" s="6" t="inlineStr">
        <is>
          <t>16 inch Restrained Joint PVC Pipe</t>
        </is>
      </c>
      <c r="D232" s="5" t="inlineStr">
        <is>
          <t>LF</t>
        </is>
      </c>
      <c r="E232" s="7" t="n">
        <v>524</v>
      </c>
      <c r="F232" s="8" t="inlineStr"/>
      <c r="G232" s="8" t="inlineStr"/>
      <c r="H232" s="9" t="n">
        <v>98</v>
      </c>
      <c r="I232" s="10" t="inlineStr">
        <is>
          <t>Verified</t>
        </is>
      </c>
      <c r="J232" s="8" t="inlineStr">
        <is>
          <t>Table of Water Main Pipe Quantities</t>
        </is>
      </c>
      <c r="K232" s="8" t="inlineStr">
        <is>
          <t>Extracted table total.</t>
        </is>
      </c>
    </row>
    <row r="233">
      <c r="A233" s="5" t="n">
        <v>222</v>
      </c>
      <c r="B233" s="5" t="inlineStr"/>
      <c r="C233" s="6" t="inlineStr">
        <is>
          <t>16 inch C900 DR 18 PVC Water Main Extra Depth</t>
        </is>
      </c>
      <c r="D233" s="5" t="inlineStr">
        <is>
          <t>LF</t>
        </is>
      </c>
      <c r="E233" s="7" t="n">
        <v>41</v>
      </c>
      <c r="F233" s="8" t="inlineStr"/>
      <c r="G233" s="8" t="inlineStr"/>
      <c r="H233" s="9" t="n">
        <v>98</v>
      </c>
      <c r="I233" s="10" t="inlineStr">
        <is>
          <t>Verified</t>
        </is>
      </c>
      <c r="J233" s="8" t="inlineStr">
        <is>
          <t>Table of Water Main Pipe Quantities</t>
        </is>
      </c>
      <c r="K233" s="8" t="inlineStr">
        <is>
          <t>Extracted table quantity.</t>
        </is>
      </c>
    </row>
    <row r="234">
      <c r="A234" s="5" t="n">
        <v>223</v>
      </c>
      <c r="B234" s="5" t="inlineStr"/>
      <c r="C234" s="6" t="inlineStr">
        <is>
          <t>Casing Pipe, 12 inch Steel Casing</t>
        </is>
      </c>
      <c r="D234" s="5" t="inlineStr">
        <is>
          <t>LF</t>
        </is>
      </c>
      <c r="E234" s="7" t="n">
        <v>20</v>
      </c>
      <c r="F234" s="8" t="inlineStr"/>
      <c r="G234" s="8" t="inlineStr"/>
      <c r="H234" s="9" t="n">
        <v>98</v>
      </c>
      <c r="I234" s="10" t="inlineStr">
        <is>
          <t>Verified</t>
        </is>
      </c>
      <c r="J234" s="8" t="inlineStr">
        <is>
          <t>Table of Water Main Pipe Quantities - Casing Pipe (12 inch Steel Casing)</t>
        </is>
      </c>
      <c r="K234" s="8" t="inlineStr">
        <is>
          <t>Extracted table total.</t>
        </is>
      </c>
    </row>
    <row r="235">
      <c r="A235" s="5" t="n">
        <v>224</v>
      </c>
      <c r="B235" s="5" t="inlineStr"/>
      <c r="C235" s="6" t="inlineStr">
        <is>
          <t>Casing Pipe, 16 inch Steel Casing</t>
        </is>
      </c>
      <c r="D235" s="5" t="inlineStr">
        <is>
          <t>LF</t>
        </is>
      </c>
      <c r="E235" s="7" t="n">
        <v>20</v>
      </c>
      <c r="F235" s="8" t="inlineStr"/>
      <c r="G235" s="8" t="inlineStr"/>
      <c r="H235" s="9" t="n">
        <v>98</v>
      </c>
      <c r="I235" s="10" t="inlineStr">
        <is>
          <t>Verified</t>
        </is>
      </c>
      <c r="J235" s="8" t="inlineStr">
        <is>
          <t>Table of Water Main Pipe Quantities - Casing Pipe (16 inch Steel Casing)</t>
        </is>
      </c>
      <c r="K235" s="8" t="inlineStr">
        <is>
          <t>Extracted table total.</t>
        </is>
      </c>
    </row>
    <row r="236">
      <c r="A236" s="5" t="n">
        <v>225</v>
      </c>
      <c r="B236" s="5" t="inlineStr"/>
      <c r="C236" s="6" t="inlineStr">
        <is>
          <t>Casing Pipe, 20 inch Steel Casing</t>
        </is>
      </c>
      <c r="D236" s="5" t="inlineStr">
        <is>
          <t>LF</t>
        </is>
      </c>
      <c r="E236" s="7" t="n">
        <v>60</v>
      </c>
      <c r="F236" s="8" t="inlineStr"/>
      <c r="G236" s="8" t="inlineStr"/>
      <c r="H236" s="9" t="n">
        <v>98</v>
      </c>
      <c r="I236" s="10" t="inlineStr">
        <is>
          <t>Verified</t>
        </is>
      </c>
      <c r="J236" s="8" t="inlineStr">
        <is>
          <t>Table of Water Main Pipe Quantities - Casing Pipe (20 inch Steel Casing)</t>
        </is>
      </c>
      <c r="K236" s="8" t="inlineStr">
        <is>
          <t>Extracted table total.</t>
        </is>
      </c>
    </row>
    <row r="237">
      <c r="A237" s="5" t="n">
        <v>226</v>
      </c>
      <c r="B237" s="5" t="inlineStr"/>
      <c r="C237" s="6" t="inlineStr">
        <is>
          <t>Casing Pipe, 24 inch Steel Casing</t>
        </is>
      </c>
      <c r="D237" s="5" t="inlineStr">
        <is>
          <t>LF</t>
        </is>
      </c>
      <c r="E237" s="7" t="n">
        <v>200</v>
      </c>
      <c r="F237" s="8" t="inlineStr"/>
      <c r="G237" s="8" t="inlineStr"/>
      <c r="H237" s="9" t="n">
        <v>98</v>
      </c>
      <c r="I237" s="10" t="inlineStr">
        <is>
          <t>Verified</t>
        </is>
      </c>
      <c r="J237" s="8" t="inlineStr">
        <is>
          <t>Table of Water Main Pipe Quantities - Casing Pipe (24 inch Steel Casing)</t>
        </is>
      </c>
      <c r="K237" s="8" t="inlineStr">
        <is>
          <t>Extracted table total.</t>
        </is>
      </c>
    </row>
    <row r="238">
      <c r="A238" s="5" t="n">
        <v>227</v>
      </c>
      <c r="B238" s="5" t="inlineStr"/>
      <c r="C238" s="6" t="inlineStr">
        <is>
          <t>Carrier Pipe, 6 inch RJ PVC Pipe</t>
        </is>
      </c>
      <c r="D238" s="5" t="inlineStr">
        <is>
          <t>LF</t>
        </is>
      </c>
      <c r="E238" s="7" t="n">
        <v>20</v>
      </c>
      <c r="F238" s="8" t="inlineStr"/>
      <c r="G238" s="8" t="inlineStr"/>
      <c r="H238" s="9" t="n">
        <v>98</v>
      </c>
      <c r="I238" s="10" t="inlineStr">
        <is>
          <t>Verified</t>
        </is>
      </c>
      <c r="J238" s="8" t="inlineStr">
        <is>
          <t>Table of Water Main Pipe Quantities - Carrier Pipe</t>
        </is>
      </c>
      <c r="K238" s="8" t="inlineStr">
        <is>
          <t>Extracted table total.</t>
        </is>
      </c>
    </row>
    <row r="239">
      <c r="A239" s="5" t="n">
        <v>228</v>
      </c>
      <c r="B239" s="5" t="inlineStr"/>
      <c r="C239" s="6" t="inlineStr">
        <is>
          <t>Carrier Pipe, 8 inch RJ PVC Pipe</t>
        </is>
      </c>
      <c r="D239" s="5" t="inlineStr">
        <is>
          <t>LF</t>
        </is>
      </c>
      <c r="E239" s="7" t="n">
        <v>20</v>
      </c>
      <c r="F239" s="8" t="inlineStr"/>
      <c r="G239" s="8" t="inlineStr"/>
      <c r="H239" s="9" t="n">
        <v>98</v>
      </c>
      <c r="I239" s="10" t="inlineStr">
        <is>
          <t>Verified</t>
        </is>
      </c>
      <c r="J239" s="8" t="inlineStr">
        <is>
          <t>Table of Water Main Pipe Quantities - Carrier Pipe</t>
        </is>
      </c>
      <c r="K239" s="8" t="inlineStr">
        <is>
          <t>Extracted table total.</t>
        </is>
      </c>
    </row>
    <row r="240">
      <c r="A240" s="5" t="n">
        <v>229</v>
      </c>
      <c r="B240" s="5" t="inlineStr"/>
      <c r="C240" s="6" t="inlineStr">
        <is>
          <t>Carrier Pipe, 12 inch RJ PVC Pipe</t>
        </is>
      </c>
      <c r="D240" s="5" t="inlineStr">
        <is>
          <t>LF</t>
        </is>
      </c>
      <c r="E240" s="7" t="n">
        <v>20</v>
      </c>
      <c r="F240" s="8" t="inlineStr"/>
      <c r="G240" s="8" t="inlineStr"/>
      <c r="H240" s="9" t="n">
        <v>98</v>
      </c>
      <c r="I240" s="10" t="inlineStr">
        <is>
          <t>Verified</t>
        </is>
      </c>
      <c r="J240" s="8" t="inlineStr">
        <is>
          <t>Table of Water Main Pipe Quantities - Carrier Pipe</t>
        </is>
      </c>
      <c r="K240" s="8" t="inlineStr">
        <is>
          <t>Extracted table total.</t>
        </is>
      </c>
    </row>
    <row r="241">
      <c r="A241" s="5" t="n">
        <v>230</v>
      </c>
      <c r="B241" s="5" t="inlineStr"/>
      <c r="C241" s="6" t="inlineStr">
        <is>
          <t>Carrier Pipe, 16 inch RJ PVC Pipe</t>
        </is>
      </c>
      <c r="D241" s="5" t="inlineStr">
        <is>
          <t>LF</t>
        </is>
      </c>
      <c r="E241" s="7" t="n">
        <v>80</v>
      </c>
      <c r="F241" s="8" t="inlineStr"/>
      <c r="G241" s="8" t="inlineStr"/>
      <c r="H241" s="9" t="n">
        <v>98</v>
      </c>
      <c r="I241" s="10" t="inlineStr">
        <is>
          <t>Verified</t>
        </is>
      </c>
      <c r="J241" s="8" t="inlineStr">
        <is>
          <t>Table of Water Main Pipe Quantities - Carrier Pipe</t>
        </is>
      </c>
      <c r="K241" s="8" t="inlineStr">
        <is>
          <t>Extracted table total.</t>
        </is>
      </c>
    </row>
    <row r="242">
      <c r="A242" s="5" t="n">
        <v>231</v>
      </c>
      <c r="B242" s="5" t="inlineStr"/>
      <c r="C242" s="6" t="inlineStr">
        <is>
          <t>12 inch Plug</t>
        </is>
      </c>
      <c r="D242" s="5" t="inlineStr">
        <is>
          <t>EA</t>
        </is>
      </c>
      <c r="E242" s="7" t="n">
        <v>4</v>
      </c>
      <c r="F242" s="8" t="inlineStr"/>
      <c r="G242" s="8" t="inlineStr"/>
      <c r="H242" s="9" t="n">
        <v>98</v>
      </c>
      <c r="I242" s="10" t="inlineStr">
        <is>
          <t>Verified</t>
        </is>
      </c>
      <c r="J242" s="8" t="inlineStr">
        <is>
          <t>Table of Plugs</t>
        </is>
      </c>
      <c r="K242" s="8" t="inlineStr">
        <is>
          <t>Extracted table total.</t>
        </is>
      </c>
    </row>
    <row r="243">
      <c r="A243" s="5" t="n">
        <v>232</v>
      </c>
      <c r="B243" s="5" t="inlineStr"/>
      <c r="C243" s="6" t="inlineStr">
        <is>
          <t>12 inch Cap</t>
        </is>
      </c>
      <c r="D243" s="5" t="inlineStr">
        <is>
          <t>EA</t>
        </is>
      </c>
      <c r="E243" s="7" t="n">
        <v>3</v>
      </c>
      <c r="F243" s="8" t="inlineStr"/>
      <c r="G243" s="8" t="inlineStr"/>
      <c r="H243" s="9" t="n">
        <v>98</v>
      </c>
      <c r="I243" s="10" t="inlineStr">
        <is>
          <t>Verified</t>
        </is>
      </c>
      <c r="J243" s="8" t="inlineStr">
        <is>
          <t>Table of Caps</t>
        </is>
      </c>
      <c r="K243" s="8" t="inlineStr">
        <is>
          <t>Extracted table total.</t>
        </is>
      </c>
    </row>
    <row r="244">
      <c r="A244" s="5" t="n">
        <v>233</v>
      </c>
      <c r="B244" s="5" t="inlineStr"/>
      <c r="C244" s="6" t="inlineStr">
        <is>
          <t>8 inch x 6 inch MJ Reducer</t>
        </is>
      </c>
      <c r="D244" s="5" t="inlineStr">
        <is>
          <t>EA</t>
        </is>
      </c>
      <c r="E244" s="7" t="n">
        <v>5</v>
      </c>
      <c r="F244" s="8" t="inlineStr"/>
      <c r="G244" s="8" t="inlineStr"/>
      <c r="H244" s="9" t="n">
        <v>98</v>
      </c>
      <c r="I244" s="10" t="inlineStr">
        <is>
          <t>Verified</t>
        </is>
      </c>
      <c r="J244" s="8" t="inlineStr">
        <is>
          <t>Table of Reducers</t>
        </is>
      </c>
      <c r="K244" s="8" t="inlineStr">
        <is>
          <t>Extracted table total.</t>
        </is>
      </c>
    </row>
    <row r="245">
      <c r="A245" s="5" t="n">
        <v>234</v>
      </c>
      <c r="B245" s="5" t="inlineStr"/>
      <c r="C245" s="6" t="inlineStr">
        <is>
          <t>12 inch Gate Valve with Box</t>
        </is>
      </c>
      <c r="D245" s="5" t="inlineStr">
        <is>
          <t>EA</t>
        </is>
      </c>
      <c r="E245" s="7" t="n">
        <v>7</v>
      </c>
      <c r="F245" s="8" t="inlineStr"/>
      <c r="G245" s="8" t="inlineStr"/>
      <c r="H245" s="9" t="n">
        <v>98</v>
      </c>
      <c r="I245" s="10" t="inlineStr">
        <is>
          <t>Verified</t>
        </is>
      </c>
      <c r="J245" s="8" t="inlineStr">
        <is>
          <t>Table of Gate Valves</t>
        </is>
      </c>
      <c r="K245" s="8" t="inlineStr">
        <is>
          <t>Extracted table total.</t>
        </is>
      </c>
    </row>
    <row r="246">
      <c r="A246" s="5" t="n">
        <v>235</v>
      </c>
      <c r="B246" s="5" t="inlineStr"/>
      <c r="C246" s="6" t="inlineStr">
        <is>
          <t>12 inch Long Sleeve</t>
        </is>
      </c>
      <c r="D246" s="5" t="inlineStr">
        <is>
          <t>EA</t>
        </is>
      </c>
      <c r="E246" s="7" t="n">
        <v>1</v>
      </c>
      <c r="F246" s="8" t="inlineStr"/>
      <c r="G246" s="8" t="inlineStr"/>
      <c r="H246" s="9" t="n">
        <v>98</v>
      </c>
      <c r="I246" s="10" t="inlineStr">
        <is>
          <t>Verified</t>
        </is>
      </c>
      <c r="J246" s="8" t="inlineStr">
        <is>
          <t>Table of Long Sleeves</t>
        </is>
      </c>
      <c r="K246" s="8" t="inlineStr">
        <is>
          <t>Extracted table total.</t>
        </is>
      </c>
    </row>
    <row r="247">
      <c r="A247" s="5" t="n">
        <v>236</v>
      </c>
      <c r="B247" s="5" t="inlineStr"/>
      <c r="C247" s="6" t="inlineStr">
        <is>
          <t>Salvaged 6 inch Gate Valve with Box</t>
        </is>
      </c>
      <c r="D247" s="5" t="inlineStr">
        <is>
          <t>EA</t>
        </is>
      </c>
      <c r="E247" s="7" t="n">
        <v>1</v>
      </c>
      <c r="F247" s="8" t="inlineStr"/>
      <c r="G247" s="8" t="inlineStr"/>
      <c r="H247" s="9" t="n">
        <v>98</v>
      </c>
      <c r="I247" s="10" t="inlineStr">
        <is>
          <t>Verified</t>
        </is>
      </c>
      <c r="J247" s="8" t="inlineStr">
        <is>
          <t>Table of Salvaged Gate Valves</t>
        </is>
      </c>
      <c r="K247" s="8" t="inlineStr">
        <is>
          <t>Extracted table total.</t>
        </is>
      </c>
    </row>
    <row r="248">
      <c r="A248" s="5" t="n">
        <v>237</v>
      </c>
      <c r="B248" s="5" t="inlineStr"/>
      <c r="C248" s="6" t="inlineStr">
        <is>
          <t>12 inch MJ Elbow, 45 Degree</t>
        </is>
      </c>
      <c r="D248" s="5" t="inlineStr">
        <is>
          <t>EA</t>
        </is>
      </c>
      <c r="E248" s="7" t="n">
        <v>12</v>
      </c>
      <c r="F248" s="8" t="inlineStr"/>
      <c r="G248" s="8" t="inlineStr"/>
      <c r="H248" s="9" t="n">
        <v>98</v>
      </c>
      <c r="I248" s="10" t="inlineStr">
        <is>
          <t>Verified</t>
        </is>
      </c>
      <c r="J248" s="8" t="inlineStr">
        <is>
          <t>Table of MJ Elbow (45 Degree)</t>
        </is>
      </c>
      <c r="K248" s="8" t="inlineStr">
        <is>
          <t>Extracted table total.</t>
        </is>
      </c>
    </row>
    <row r="249">
      <c r="A249" s="5" t="n">
        <v>238</v>
      </c>
      <c r="B249" s="5" t="inlineStr"/>
      <c r="C249" s="6" t="inlineStr">
        <is>
          <t>6 inch MJ Elbow, 90 Degree</t>
        </is>
      </c>
      <c r="D249" s="5" t="inlineStr">
        <is>
          <t>EA</t>
        </is>
      </c>
      <c r="E249" s="7" t="n">
        <v>3</v>
      </c>
      <c r="F249" s="8" t="inlineStr"/>
      <c r="G249" s="8" t="inlineStr"/>
      <c r="H249" s="9" t="n">
        <v>98</v>
      </c>
      <c r="I249" s="10" t="inlineStr">
        <is>
          <t>Verified</t>
        </is>
      </c>
      <c r="J249" s="8" t="inlineStr">
        <is>
          <t>Table of MJ Elbow (90 Degree)</t>
        </is>
      </c>
      <c r="K249" s="8" t="inlineStr">
        <is>
          <t>Extracted table total.</t>
        </is>
      </c>
    </row>
    <row r="250">
      <c r="A250" s="5" t="n">
        <v>239</v>
      </c>
      <c r="B250" s="5" t="inlineStr"/>
      <c r="C250" s="6" t="inlineStr">
        <is>
          <t>12 inch x 6 inch MJ Tee</t>
        </is>
      </c>
      <c r="D250" s="5" t="inlineStr">
        <is>
          <t>EA</t>
        </is>
      </c>
      <c r="E250" s="7" t="n">
        <v>4</v>
      </c>
      <c r="F250" s="8" t="inlineStr"/>
      <c r="G250" s="8" t="inlineStr"/>
      <c r="H250" s="9" t="n">
        <v>98</v>
      </c>
      <c r="I250" s="10" t="inlineStr">
        <is>
          <t>Verified</t>
        </is>
      </c>
      <c r="J250" s="8" t="inlineStr">
        <is>
          <t>Table of MJ Tees</t>
        </is>
      </c>
      <c r="K250" s="8" t="inlineStr">
        <is>
          <t>Extracted table total.</t>
        </is>
      </c>
    </row>
    <row r="251">
      <c r="A251" s="5" t="n">
        <v>240</v>
      </c>
      <c r="B251" s="5" t="inlineStr"/>
      <c r="C251" s="6" t="inlineStr">
        <is>
          <t>16 inch x 8 inch MJ Tee</t>
        </is>
      </c>
      <c r="D251" s="5" t="inlineStr">
        <is>
          <t>EA</t>
        </is>
      </c>
      <c r="E251" s="7" t="n">
        <v>5</v>
      </c>
      <c r="F251" s="8" t="inlineStr"/>
      <c r="G251" s="8" t="inlineStr"/>
      <c r="H251" s="9" t="n">
        <v>98</v>
      </c>
      <c r="I251" s="10" t="inlineStr">
        <is>
          <t>Verified</t>
        </is>
      </c>
      <c r="J251" s="8" t="inlineStr">
        <is>
          <t>Table of MJ Tees</t>
        </is>
      </c>
      <c r="K251" s="8" t="inlineStr">
        <is>
          <t>Extracted table total.</t>
        </is>
      </c>
    </row>
    <row r="252">
      <c r="A252" s="5" t="n">
        <v>241</v>
      </c>
      <c r="B252" s="5" t="inlineStr"/>
      <c r="C252" s="6" t="inlineStr">
        <is>
          <t>Reinforcing Steel for Storm Structures</t>
        </is>
      </c>
      <c r="D252" s="5" t="inlineStr">
        <is>
          <t>LB</t>
        </is>
      </c>
      <c r="E252" s="7" t="n">
        <v>12355</v>
      </c>
      <c r="F252" s="8" t="inlineStr"/>
      <c r="G252" s="8" t="inlineStr"/>
      <c r="H252" s="9" t="n">
        <v>99</v>
      </c>
      <c r="I252" s="10" t="inlineStr">
        <is>
          <t>Verified</t>
        </is>
      </c>
      <c r="J252" s="8" t="inlineStr">
        <is>
          <t>Table of Storm Sewer Drop Inlets and Junction Boxes - Total</t>
        </is>
      </c>
      <c r="K252" s="8" t="inlineStr">
        <is>
          <t>Extracted total reinforcing steel quantity.</t>
        </is>
      </c>
    </row>
    <row r="253">
      <c r="A253" s="5" t="n">
        <v>242</v>
      </c>
      <c r="B253" s="5" t="inlineStr"/>
      <c r="C253" s="6" t="inlineStr">
        <is>
          <t>Salvage Valve/Valve Box</t>
        </is>
      </c>
      <c r="D253" s="5" t="inlineStr">
        <is>
          <t>EA</t>
        </is>
      </c>
      <c r="E253" s="7" t="n">
        <v>2</v>
      </c>
      <c r="F253" s="8" t="inlineStr"/>
      <c r="G253" s="8" t="inlineStr"/>
      <c r="H253" s="9" t="n">
        <v>99</v>
      </c>
      <c r="I253" s="10" t="inlineStr">
        <is>
          <t>Verified</t>
        </is>
      </c>
      <c r="J253" s="8" t="inlineStr">
        <is>
          <t>Table of Salvage Valve/Valve Box</t>
        </is>
      </c>
      <c r="K253" s="8" t="inlineStr">
        <is>
          <t>Extracted table total.</t>
        </is>
      </c>
    </row>
    <row r="254">
      <c r="A254" s="5" t="n">
        <v>243</v>
      </c>
      <c r="B254" s="5" t="inlineStr"/>
      <c r="C254" s="6" t="inlineStr">
        <is>
          <t>Valve Box</t>
        </is>
      </c>
      <c r="D254" s="5" t="inlineStr">
        <is>
          <t>EA</t>
        </is>
      </c>
      <c r="E254" s="7" t="n">
        <v>1</v>
      </c>
      <c r="F254" s="8" t="inlineStr"/>
      <c r="G254" s="8" t="inlineStr"/>
      <c r="H254" s="9" t="n">
        <v>98</v>
      </c>
      <c r="I254" s="10" t="inlineStr">
        <is>
          <t>Verified</t>
        </is>
      </c>
      <c r="J254" s="8" t="inlineStr">
        <is>
          <t>City Material Procurement table</t>
        </is>
      </c>
      <c r="K254" s="8" t="inlineStr">
        <is>
          <t>Extracted from Plan Quantity cell.</t>
        </is>
      </c>
    </row>
    <row r="255">
      <c r="A255" s="5" t="n">
        <v>244</v>
      </c>
      <c r="B255" s="5" t="inlineStr"/>
      <c r="C255" s="6" t="inlineStr">
        <is>
          <t>12 in. MJ Gate Valve with Box</t>
        </is>
      </c>
      <c r="D255" s="5" t="inlineStr">
        <is>
          <t>EA</t>
        </is>
      </c>
      <c r="E255" s="7" t="n">
        <v>7</v>
      </c>
      <c r="F255" s="8" t="inlineStr"/>
      <c r="G255" s="8" t="inlineStr"/>
      <c r="H255" s="9" t="n">
        <v>98</v>
      </c>
      <c r="I255" s="10" t="inlineStr">
        <is>
          <t>Verified</t>
        </is>
      </c>
      <c r="J255" s="8" t="inlineStr">
        <is>
          <t>City Material Procurement table</t>
        </is>
      </c>
      <c r="K255" s="8" t="inlineStr">
        <is>
          <t>Extracted from Plan Quantity cell.</t>
        </is>
      </c>
    </row>
    <row r="256">
      <c r="A256" s="5" t="n">
        <v>245</v>
      </c>
      <c r="B256" s="5" t="inlineStr"/>
      <c r="C256" s="6" t="inlineStr">
        <is>
          <t>12 in. x 6 in. MJ Tee</t>
        </is>
      </c>
      <c r="D256" s="5" t="inlineStr">
        <is>
          <t>EA</t>
        </is>
      </c>
      <c r="E256" s="7" t="n">
        <v>4</v>
      </c>
      <c r="F256" s="8" t="inlineStr"/>
      <c r="G256" s="8" t="inlineStr"/>
      <c r="H256" s="9" t="n">
        <v>98</v>
      </c>
      <c r="I256" s="10" t="inlineStr">
        <is>
          <t>Verified</t>
        </is>
      </c>
      <c r="J256" s="8" t="inlineStr">
        <is>
          <t>City Material Procurement table</t>
        </is>
      </c>
      <c r="K256" s="8" t="inlineStr">
        <is>
          <t>Extracted from Plan Quantity cell.</t>
        </is>
      </c>
    </row>
    <row r="257">
      <c r="A257" s="5" t="n">
        <v>246</v>
      </c>
      <c r="B257" s="5" t="inlineStr"/>
      <c r="C257" s="6" t="inlineStr">
        <is>
          <t>16 in. x 8 in. MJ Tee</t>
        </is>
      </c>
      <c r="D257" s="5" t="inlineStr">
        <is>
          <t>EA</t>
        </is>
      </c>
      <c r="E257" s="7" t="n">
        <v>5</v>
      </c>
      <c r="F257" s="8" t="inlineStr"/>
      <c r="G257" s="8" t="inlineStr"/>
      <c r="H257" s="9" t="n">
        <v>98</v>
      </c>
      <c r="I257" s="10" t="inlineStr">
        <is>
          <t>Verified</t>
        </is>
      </c>
      <c r="J257" s="8" t="inlineStr">
        <is>
          <t>City Material Procurement table</t>
        </is>
      </c>
      <c r="K257" s="8" t="inlineStr">
        <is>
          <t>Extracted from Plan Quantity cell.</t>
        </is>
      </c>
    </row>
    <row r="258">
      <c r="A258" s="5" t="n">
        <v>247</v>
      </c>
      <c r="B258" s="5" t="inlineStr"/>
      <c r="C258" s="6" t="inlineStr">
        <is>
          <t>8 in. x 6 in. MJ Reducer</t>
        </is>
      </c>
      <c r="D258" s="5" t="inlineStr">
        <is>
          <t>EA</t>
        </is>
      </c>
      <c r="E258" s="7" t="n">
        <v>5</v>
      </c>
      <c r="F258" s="8" t="inlineStr"/>
      <c r="G258" s="8" t="inlineStr"/>
      <c r="H258" s="9" t="n">
        <v>98</v>
      </c>
      <c r="I258" s="10" t="inlineStr">
        <is>
          <t>Verified</t>
        </is>
      </c>
      <c r="J258" s="8" t="inlineStr">
        <is>
          <t>City Material Procurement table</t>
        </is>
      </c>
      <c r="K258" s="8" t="inlineStr">
        <is>
          <t>Extracted from Plan Quantity cell.</t>
        </is>
      </c>
    </row>
    <row r="259">
      <c r="A259" s="5" t="n">
        <v>248</v>
      </c>
      <c r="B259" s="5" t="inlineStr"/>
      <c r="C259" s="6" t="inlineStr">
        <is>
          <t>12 in. MJ Long Sleeve</t>
        </is>
      </c>
      <c r="D259" s="5" t="inlineStr">
        <is>
          <t>EA</t>
        </is>
      </c>
      <c r="E259" s="7" t="n">
        <v>1</v>
      </c>
      <c r="F259" s="8" t="inlineStr"/>
      <c r="G259" s="8" t="inlineStr"/>
      <c r="H259" s="9" t="n">
        <v>98</v>
      </c>
      <c r="I259" s="10" t="inlineStr">
        <is>
          <t>Verified</t>
        </is>
      </c>
      <c r="J259" s="8" t="inlineStr">
        <is>
          <t>City Material Procurement table</t>
        </is>
      </c>
      <c r="K259" s="8" t="inlineStr">
        <is>
          <t>Extracted from Plan Quantity cell.</t>
        </is>
      </c>
    </row>
    <row r="260">
      <c r="A260" s="5" t="n">
        <v>249</v>
      </c>
      <c r="B260" s="5" t="inlineStr"/>
      <c r="C260" s="6" t="inlineStr">
        <is>
          <t>12 in. MJ Retainer Gland</t>
        </is>
      </c>
      <c r="D260" s="5" t="inlineStr">
        <is>
          <t>EA</t>
        </is>
      </c>
      <c r="E260" s="7" t="n">
        <v>53</v>
      </c>
      <c r="F260" s="8" t="inlineStr"/>
      <c r="G260" s="8" t="inlineStr"/>
      <c r="H260" s="9" t="n">
        <v>98</v>
      </c>
      <c r="I260" s="10" t="inlineStr">
        <is>
          <t>Verified</t>
        </is>
      </c>
      <c r="J260" s="8" t="inlineStr">
        <is>
          <t>City Material Procurement table</t>
        </is>
      </c>
      <c r="K260" s="8" t="inlineStr">
        <is>
          <t>Extracted from Plan Quantity cell.</t>
        </is>
      </c>
    </row>
    <row r="261">
      <c r="A261" s="5" t="n">
        <v>250</v>
      </c>
      <c r="B261" s="5" t="inlineStr"/>
      <c r="C261" s="6" t="inlineStr">
        <is>
          <t>Salvage Valve</t>
        </is>
      </c>
      <c r="D261" s="5" t="inlineStr">
        <is>
          <t>EA</t>
        </is>
      </c>
      <c r="E261" s="7" t="n">
        <v>1</v>
      </c>
      <c r="F261" s="8" t="inlineStr"/>
      <c r="G261" s="8" t="inlineStr"/>
      <c r="H261" s="9" t="n">
        <v>95</v>
      </c>
      <c r="I261" s="11" t="inlineStr">
        <is>
          <t>Engineer Review</t>
        </is>
      </c>
      <c r="J261" s="8" t="inlineStr">
        <is>
          <t>Sheet H1 STA 70+00-75+00 removal quantity callout box.</t>
        </is>
      </c>
      <c r="K261" s="8" t="inlineStr">
        <is>
          <t>Extracted from printed removal quantity callout.</t>
        </is>
      </c>
    </row>
    <row r="262">
      <c r="A262" s="5" t="n">
        <v>251</v>
      </c>
      <c r="B262" s="5" t="inlineStr"/>
      <c r="C262" s="6" t="inlineStr">
        <is>
          <t>Salvage Valve Box</t>
        </is>
      </c>
      <c r="D262" s="5" t="inlineStr">
        <is>
          <t>EA</t>
        </is>
      </c>
      <c r="E262" s="7" t="n">
        <v>1</v>
      </c>
      <c r="F262" s="8" t="inlineStr"/>
      <c r="G262" s="8" t="inlineStr"/>
      <c r="H262" s="9" t="n">
        <v>95</v>
      </c>
      <c r="I262" s="11" t="inlineStr">
        <is>
          <t>Engineer Review</t>
        </is>
      </c>
      <c r="J262" s="8" t="inlineStr">
        <is>
          <t>Sheet H1 STA 70+00-75+00 removal quantity callout box.</t>
        </is>
      </c>
      <c r="K262" s="8" t="inlineStr">
        <is>
          <t>Extracted from printed removal quantity callout.</t>
        </is>
      </c>
    </row>
    <row r="263">
      <c r="A263" s="5" t="n">
        <v>252</v>
      </c>
      <c r="B263" s="5" t="inlineStr"/>
      <c r="C263" s="6" t="inlineStr">
        <is>
          <t>City Furnished C900 DR 18 PVC Water Main</t>
        </is>
      </c>
      <c r="D263" s="5" t="inlineStr">
        <is>
          <t>LF</t>
        </is>
      </c>
      <c r="E263" s="7" t="n">
        <v>58</v>
      </c>
      <c r="F263" s="8" t="inlineStr"/>
      <c r="G263" s="8" t="inlineStr"/>
      <c r="H263" s="9" t="n">
        <v>95</v>
      </c>
      <c r="I263" s="11" t="inlineStr">
        <is>
          <t>Engineer Review</t>
        </is>
      </c>
      <c r="J263" s="8" t="inlineStr">
        <is>
          <t>Sheet I10 water-main quantity callouts at STA 71+16.13 and STA 73+98.58</t>
        </is>
      </c>
      <c r="K263" s="8" t="inlineStr">
        <is>
          <t>Printed quantities: 39 LF plus 19 LF = 58 LF.</t>
        </is>
      </c>
    </row>
    <row r="264">
      <c r="A264" s="5" t="n">
        <v>253</v>
      </c>
      <c r="B264" s="5" t="inlineStr"/>
      <c r="C264" s="6" t="inlineStr">
        <is>
          <t>6 in. Carrier Pipe, Restrained Joint PVC Pipe</t>
        </is>
      </c>
      <c r="D264" s="5" t="inlineStr">
        <is>
          <t>LF</t>
        </is>
      </c>
      <c r="E264" s="7" t="n">
        <v>20</v>
      </c>
      <c r="F264" s="8" t="inlineStr"/>
      <c r="G264" s="8" t="inlineStr"/>
      <c r="H264" s="9" t="n">
        <v>95</v>
      </c>
      <c r="I264" s="11" t="inlineStr">
        <is>
          <t>Engineer Review</t>
        </is>
      </c>
      <c r="J264" s="8" t="inlineStr">
        <is>
          <t>Sheet I10, STA 71+16.13-39.20 LT to STA 71+36.13-10.00 RT callout</t>
        </is>
      </c>
      <c r="K264" s="8" t="inlineStr">
        <is>
          <t>Printed quantity: 20 LF carrier pipe (restrained joint PVC pipe).</t>
        </is>
      </c>
    </row>
    <row r="265">
      <c r="A265" s="5" t="n">
        <v>254</v>
      </c>
      <c r="B265" s="5" t="inlineStr"/>
      <c r="C265" s="6" t="inlineStr">
        <is>
          <t>12 in. Steel Casing Pipe</t>
        </is>
      </c>
      <c r="D265" s="5" t="inlineStr">
        <is>
          <t>LF</t>
        </is>
      </c>
      <c r="E265" s="7" t="n">
        <v>20</v>
      </c>
      <c r="F265" s="8" t="inlineStr"/>
      <c r="G265" s="8" t="inlineStr"/>
      <c r="H265" s="9" t="n">
        <v>95</v>
      </c>
      <c r="I265" s="11" t="inlineStr">
        <is>
          <t>Engineer Review</t>
        </is>
      </c>
      <c r="J265" s="8" t="inlineStr">
        <is>
          <t>Sheet I10, STA 71+16.13-39.20 LT to STA 71+36.13-10.00 RT callout</t>
        </is>
      </c>
      <c r="K265" s="8" t="inlineStr">
        <is>
          <t>Printed quantity: 20 LF casing pipe (12 in. steel).</t>
        </is>
      </c>
    </row>
    <row r="266">
      <c r="A266" s="5" t="n">
        <v>255</v>
      </c>
      <c r="B266" s="5" t="inlineStr"/>
      <c r="C266" s="6" t="inlineStr">
        <is>
          <t>6 in. MJ Fire Hydrant</t>
        </is>
      </c>
      <c r="D266" s="5" t="inlineStr">
        <is>
          <t>EA</t>
        </is>
      </c>
      <c r="E266" s="7" t="n">
        <v>1</v>
      </c>
      <c r="F266" s="8" t="inlineStr"/>
      <c r="G266" s="8" t="inlineStr"/>
      <c r="H266" s="9" t="n">
        <v>95</v>
      </c>
      <c r="I266" s="11" t="inlineStr">
        <is>
          <t>Engineer Review</t>
        </is>
      </c>
      <c r="J266" s="8" t="inlineStr">
        <is>
          <t>Sheet I10, STA 71+16.13-39.20 LT to STA 71+36.13-10.00 RT callout</t>
        </is>
      </c>
      <c r="K266" s="8" t="inlineStr">
        <is>
          <t>Printed quantity: 1 each 6 in. hydrant.</t>
        </is>
      </c>
    </row>
    <row r="267">
      <c r="A267" s="5" t="n">
        <v>256</v>
      </c>
      <c r="B267" s="5" t="inlineStr"/>
      <c r="C267" s="6" t="inlineStr">
        <is>
          <t>12 in. MJ Tee</t>
        </is>
      </c>
      <c r="D267" s="5" t="inlineStr">
        <is>
          <t>EA</t>
        </is>
      </c>
      <c r="E267" s="7" t="n">
        <v>1</v>
      </c>
      <c r="F267" s="8" t="inlineStr"/>
      <c r="G267" s="8" t="inlineStr"/>
      <c r="H267" s="9" t="n">
        <v>95</v>
      </c>
      <c r="I267" s="11" t="inlineStr">
        <is>
          <t>Engineer Review</t>
        </is>
      </c>
      <c r="J267" s="8" t="inlineStr">
        <is>
          <t>Sheet I10, STA 74+17.08-26.50 RT to STA 74+17.08-85.50 RT callout</t>
        </is>
      </c>
      <c r="K267" s="8" t="inlineStr">
        <is>
          <t>Printed quantity: 1 each city furnished 12 in. MJ tee.</t>
        </is>
      </c>
    </row>
    <row r="268">
      <c r="A268" s="5" t="n">
        <v>257</v>
      </c>
      <c r="B268" s="5" t="inlineStr"/>
      <c r="C268" s="6" t="inlineStr">
        <is>
          <t>12 in. MJ Plug</t>
        </is>
      </c>
      <c r="D268" s="5" t="inlineStr">
        <is>
          <t>EA</t>
        </is>
      </c>
      <c r="E268" s="7" t="n">
        <v>1</v>
      </c>
      <c r="F268" s="8" t="inlineStr"/>
      <c r="G268" s="8" t="inlineStr"/>
      <c r="H268" s="9" t="n">
        <v>95</v>
      </c>
      <c r="I268" s="11" t="inlineStr">
        <is>
          <t>Engineer Review</t>
        </is>
      </c>
      <c r="J268" s="8" t="inlineStr">
        <is>
          <t>Sheet I10, STA 74+17.08-26.50 RT to STA 74+17.08-85.50 RT callout</t>
        </is>
      </c>
      <c r="K268" s="8" t="inlineStr">
        <is>
          <t>Printed quantity: 1 each 12 in. MJ plug.</t>
        </is>
      </c>
    </row>
    <row r="269">
      <c r="A269" s="5" t="n">
        <v>258</v>
      </c>
      <c r="B269" s="5" t="inlineStr"/>
      <c r="C269" s="6" t="inlineStr">
        <is>
          <t>Valve Box Marker</t>
        </is>
      </c>
      <c r="D269" s="5" t="inlineStr">
        <is>
          <t>EA</t>
        </is>
      </c>
      <c r="E269" s="7" t="n">
        <v>1</v>
      </c>
      <c r="F269" s="8" t="inlineStr"/>
      <c r="G269" s="8" t="inlineStr"/>
      <c r="H269" s="9" t="n">
        <v>95</v>
      </c>
      <c r="I269" s="11" t="inlineStr">
        <is>
          <t>Engineer Review</t>
        </is>
      </c>
      <c r="J269" s="8" t="inlineStr">
        <is>
          <t>Sheet I10, STA 74+17.08-26.50 RT to STA 74+17.08-85.50 RT callout</t>
        </is>
      </c>
      <c r="K269" s="8" t="inlineStr">
        <is>
          <t>Printed quantity: 1 each valve box marker.</t>
        </is>
      </c>
    </row>
    <row r="270">
      <c r="A270" s="5" t="n">
        <v>259</v>
      </c>
      <c r="B270" s="5" t="inlineStr"/>
      <c r="C270" s="6" t="inlineStr">
        <is>
          <t>Connect to Existing Water Main</t>
        </is>
      </c>
      <c r="D270" s="5" t="inlineStr">
        <is>
          <t>EA</t>
        </is>
      </c>
      <c r="E270" s="7" t="n">
        <v>1</v>
      </c>
      <c r="F270" s="8" t="inlineStr"/>
      <c r="G270" s="8" t="inlineStr"/>
      <c r="H270" s="9" t="n">
        <v>95</v>
      </c>
      <c r="I270" s="11" t="inlineStr">
        <is>
          <t>Engineer Review</t>
        </is>
      </c>
      <c r="J270" s="8" t="inlineStr">
        <is>
          <t>Sheet I10, STA 71+16.13-39.20 LT to STA 71+36.13-10.00 RT callout</t>
        </is>
      </c>
      <c r="K270" s="8" t="inlineStr">
        <is>
          <t>Printed quantity: 1 each connect to existing water main.</t>
        </is>
      </c>
    </row>
    <row r="271">
      <c r="A271" s="5" t="n">
        <v>260</v>
      </c>
      <c r="B271" s="5" t="inlineStr"/>
      <c r="C271" s="6" t="inlineStr">
        <is>
          <t>Relocate Fire Hydrant</t>
        </is>
      </c>
      <c r="D271" s="5" t="inlineStr">
        <is>
          <t>EA</t>
        </is>
      </c>
      <c r="E271" s="7" t="n">
        <v>2</v>
      </c>
      <c r="F271" s="8" t="inlineStr"/>
      <c r="G271" s="8" t="inlineStr"/>
      <c r="H271" s="9" t="n">
        <v>95</v>
      </c>
      <c r="I271" s="11" t="inlineStr">
        <is>
          <t>Engineer Review</t>
        </is>
      </c>
      <c r="J271" s="8" t="inlineStr">
        <is>
          <t>Sheet I10, STA 73+98.58-75.50 RT to STA 74+17.08-75.50 RT callout</t>
        </is>
      </c>
      <c r="K271" s="8" t="inlineStr">
        <is>
          <t>Printed quantity: 2 each remove and relocate fire hydrant.</t>
        </is>
      </c>
    </row>
    <row r="272">
      <c r="A272" s="5" t="n">
        <v>261</v>
      </c>
      <c r="B272" s="5" t="inlineStr"/>
      <c r="C272" s="6" t="inlineStr">
        <is>
          <t>Install City Furnished 16 in. C900 DR 18 PVC Water Main</t>
        </is>
      </c>
      <c r="D272" s="5" t="inlineStr">
        <is>
          <t>LF</t>
        </is>
      </c>
      <c r="E272" s="7" t="n">
        <v>2022</v>
      </c>
      <c r="F272" s="8" t="inlineStr"/>
      <c r="G272" s="8" t="inlineStr"/>
      <c r="H272" s="9" t="n">
        <v>93</v>
      </c>
      <c r="I272" s="11" t="inlineStr">
        <is>
          <t>Engineer Review</t>
        </is>
      </c>
      <c r="J272" s="8" t="inlineStr">
        <is>
          <t>Water-main construction callout boxes, sheets 81-86</t>
        </is>
      </c>
      <c r="K272" s="8" t="inlineStr">
        <is>
          <t>Summed printed normal-joint 16 in. C900 DR18 PVC quantities: 485 + 302 + 480 + 66 + 354 + 335 = 2,022 Ft.</t>
        </is>
      </c>
    </row>
    <row r="273">
      <c r="A273" s="5" t="n">
        <v>262</v>
      </c>
      <c r="B273" s="5" t="inlineStr"/>
      <c r="C273" s="6" t="inlineStr">
        <is>
          <t>Install 16 in. Restrained Joint PVC Water Main / Carrier Pipe</t>
        </is>
      </c>
      <c r="D273" s="5" t="inlineStr">
        <is>
          <t>LF</t>
        </is>
      </c>
      <c r="E273" s="7" t="n">
        <v>724</v>
      </c>
      <c r="F273" s="8" t="inlineStr"/>
      <c r="G273" s="8" t="inlineStr"/>
      <c r="H273" s="9" t="n">
        <v>93</v>
      </c>
      <c r="I273" s="11" t="inlineStr">
        <is>
          <t>Engineer Review</t>
        </is>
      </c>
      <c r="J273" s="8" t="inlineStr">
        <is>
          <t>Water-main construction callout boxes, sheets 81-86</t>
        </is>
      </c>
      <c r="K273" s="8" t="inlineStr">
        <is>
          <t>Summed printed 16 in. restrained-joint PVC and 16 in. restrained carrier-pipe quantities: 20 + 158 + 40 + 20 + 130 + 40 + 156 + 40 + 80 + 40 = 724 Ft.</t>
        </is>
      </c>
    </row>
    <row r="274">
      <c r="A274" s="5" t="n">
        <v>263</v>
      </c>
      <c r="B274" s="5" t="inlineStr"/>
      <c r="C274" s="6" t="inlineStr">
        <is>
          <t>Install City Furnished 12 in. C900 DR 18 PVC Water Main</t>
        </is>
      </c>
      <c r="D274" s="5" t="inlineStr">
        <is>
          <t>LF</t>
        </is>
      </c>
      <c r="E274" s="7" t="n">
        <v>45</v>
      </c>
      <c r="F274" s="8" t="inlineStr"/>
      <c r="G274" s="8" t="inlineStr"/>
      <c r="H274" s="9" t="n">
        <v>93</v>
      </c>
      <c r="I274" s="11" t="inlineStr">
        <is>
          <t>Engineer Review</t>
        </is>
      </c>
      <c r="J274" s="8" t="inlineStr">
        <is>
          <t>Water-main construction callout boxes, sheets 82, 84, and 85</t>
        </is>
      </c>
      <c r="K274" s="8" t="inlineStr">
        <is>
          <t>Summed printed normal-joint 12 in. C900 DR18 PVC quantities: 37 + 5 + 3 = 45 Ft.</t>
        </is>
      </c>
    </row>
    <row r="275">
      <c r="A275" s="5" t="n">
        <v>264</v>
      </c>
      <c r="B275" s="5" t="inlineStr"/>
      <c r="C275" s="6" t="inlineStr">
        <is>
          <t>Install 12 in. Restrained Joint PVC Water Main / Carrier Pipe</t>
        </is>
      </c>
      <c r="D275" s="5" t="inlineStr">
        <is>
          <t>LF</t>
        </is>
      </c>
      <c r="E275" s="7" t="n">
        <v>299</v>
      </c>
      <c r="F275" s="8" t="inlineStr"/>
      <c r="G275" s="8" t="inlineStr"/>
      <c r="H275" s="9" t="n">
        <v>93</v>
      </c>
      <c r="I275" s="11" t="inlineStr">
        <is>
          <t>Engineer Review</t>
        </is>
      </c>
      <c r="J275" s="8" t="inlineStr">
        <is>
          <t>Water-main construction callout boxes, sheets 82, 84, and 85</t>
        </is>
      </c>
      <c r="K275" s="8" t="inlineStr">
        <is>
          <t>Summed printed 12 in. restrained-joint PVC and 12 in. restrained carrier-pipe quantities: 109 + 20 + 50 + 20 + 80 + 20 = 299 Ft.</t>
        </is>
      </c>
    </row>
    <row r="276">
      <c r="A276" s="5" t="n">
        <v>265</v>
      </c>
      <c r="B276" s="5" t="inlineStr"/>
      <c r="C276" s="6" t="inlineStr">
        <is>
          <t>Install City Furnished 8 in. C900 DR 18 PVC Water Main</t>
        </is>
      </c>
      <c r="D276" s="5" t="inlineStr">
        <is>
          <t>LF</t>
        </is>
      </c>
      <c r="E276" s="7" t="n">
        <v>59</v>
      </c>
      <c r="F276" s="8" t="inlineStr"/>
      <c r="G276" s="8" t="inlineStr"/>
      <c r="H276" s="9" t="n">
        <v>93</v>
      </c>
      <c r="I276" s="11" t="inlineStr">
        <is>
          <t>Engineer Review</t>
        </is>
      </c>
      <c r="J276" s="8" t="inlineStr">
        <is>
          <t>Water-main construction callout boxes, sheets 83 and 86</t>
        </is>
      </c>
      <c r="K276" s="8" t="inlineStr">
        <is>
          <t>Summed printed normal-joint 8 in. C900 DR18 PVC quantities: 23 + 18 + 18 = 59 Ft.</t>
        </is>
      </c>
    </row>
    <row r="277">
      <c r="A277" s="5" t="n">
        <v>266</v>
      </c>
      <c r="B277" s="5" t="inlineStr"/>
      <c r="C277" s="6" t="inlineStr">
        <is>
          <t>Install 8 in. Restrained Joint PVC Water Main / Carrier Pipe</t>
        </is>
      </c>
      <c r="D277" s="5" t="inlineStr">
        <is>
          <t>LF</t>
        </is>
      </c>
      <c r="E277" s="7" t="n">
        <v>77</v>
      </c>
      <c r="F277" s="8" t="inlineStr"/>
      <c r="G277" s="8" t="inlineStr"/>
      <c r="H277" s="9" t="n">
        <v>93</v>
      </c>
      <c r="I277" s="11" t="inlineStr">
        <is>
          <t>Engineer Review</t>
        </is>
      </c>
      <c r="J277" s="8" t="inlineStr">
        <is>
          <t>Water-main construction callout boxes, sheets 81 and 83</t>
        </is>
      </c>
      <c r="K277" s="8" t="inlineStr">
        <is>
          <t>Summed printed 8 in. restrained-joint PVC and 8 in. restrained carrier-pipe quantities: 49 + 8 + 20 = 77 Ft.</t>
        </is>
      </c>
    </row>
    <row r="278">
      <c r="A278" s="5" t="n">
        <v>267</v>
      </c>
      <c r="B278" s="5" t="inlineStr"/>
      <c r="C278" s="6" t="inlineStr">
        <is>
          <t>Install City Furnished 6 in. C900 DR 18 PVC Water Main</t>
        </is>
      </c>
      <c r="D278" s="5" t="inlineStr">
        <is>
          <t>LF</t>
        </is>
      </c>
      <c r="E278" s="7" t="n">
        <v>71</v>
      </c>
      <c r="F278" s="8" t="inlineStr"/>
      <c r="G278" s="8" t="inlineStr"/>
      <c r="H278" s="9" t="n">
        <v>93</v>
      </c>
      <c r="I278" s="11" t="inlineStr">
        <is>
          <t>Engineer Review</t>
        </is>
      </c>
      <c r="J278" s="8" t="inlineStr">
        <is>
          <t>Water-main construction callout boxes, sheets 81-86</t>
        </is>
      </c>
      <c r="K278" s="8" t="inlineStr">
        <is>
          <t>Summed printed normal-joint 6 in. C900 DR18 PVC quantities: 5 + 19 + 3 + 5 + 18 + 5 + 6 + 5 + 5 = 71 Ft.</t>
        </is>
      </c>
    </row>
    <row r="279">
      <c r="A279" s="5" t="n">
        <v>268</v>
      </c>
      <c r="B279" s="5" t="inlineStr"/>
      <c r="C279" s="6" t="inlineStr">
        <is>
          <t>Install 6 in. Restrained Joint PVC Water Main</t>
        </is>
      </c>
      <c r="D279" s="5" t="inlineStr">
        <is>
          <t>LF</t>
        </is>
      </c>
      <c r="E279" s="7" t="n">
        <v>34</v>
      </c>
      <c r="F279" s="8" t="inlineStr"/>
      <c r="G279" s="8" t="inlineStr"/>
      <c r="H279" s="9" t="n">
        <v>93</v>
      </c>
      <c r="I279" s="11" t="inlineStr">
        <is>
          <t>Engineer Review</t>
        </is>
      </c>
      <c r="J279" s="8" t="inlineStr">
        <is>
          <t>Sheet 86 water-main construction callout, STA 105+10.00</t>
        </is>
      </c>
      <c r="K279" s="8" t="inlineStr">
        <is>
          <t>Printed quantity: 34 LF of 6 in. restrained-joint PVC pipe.</t>
        </is>
      </c>
    </row>
    <row r="280">
      <c r="A280" s="5" t="n">
        <v>269</v>
      </c>
      <c r="B280" s="5" t="inlineStr"/>
      <c r="C280" s="6" t="inlineStr">
        <is>
          <t>24 in. Steel Casing Pipe for Water Main</t>
        </is>
      </c>
      <c r="D280" s="5" t="inlineStr">
        <is>
          <t>LF</t>
        </is>
      </c>
      <c r="E280" s="7" t="n">
        <v>200</v>
      </c>
      <c r="F280" s="8" t="inlineStr"/>
      <c r="G280" s="8" t="inlineStr"/>
      <c r="H280" s="9" t="n">
        <v>93</v>
      </c>
      <c r="I280" s="11" t="inlineStr">
        <is>
          <t>Engineer Review</t>
        </is>
      </c>
      <c r="J280" s="8" t="inlineStr">
        <is>
          <t>Water-main construction callout boxes, sheets 81-86</t>
        </is>
      </c>
      <c r="K280" s="8" t="inlineStr">
        <is>
          <t>Summed printed 24 in. steel casing quantities: 20 + 40 + 20 + 40 + 40 + 40 = 200 Ft.</t>
        </is>
      </c>
    </row>
    <row r="281">
      <c r="A281" s="5" t="n">
        <v>270</v>
      </c>
      <c r="B281" s="5" t="inlineStr"/>
      <c r="C281" s="6" t="inlineStr">
        <is>
          <t>16 in. C900 DR 18 PVC Water Main at Extra Depth</t>
        </is>
      </c>
      <c r="D281" s="5" t="inlineStr">
        <is>
          <t>LF</t>
        </is>
      </c>
      <c r="E281" s="7" t="n">
        <v>40</v>
      </c>
      <c r="F281" s="8" t="inlineStr"/>
      <c r="G281" s="8" t="inlineStr"/>
      <c r="H281" s="9" t="n">
        <v>93</v>
      </c>
      <c r="I281" s="11" t="inlineStr">
        <is>
          <t>Engineer Review</t>
        </is>
      </c>
      <c r="J281" s="8" t="inlineStr">
        <is>
          <t>Sheet 86 water-main construction callout, STA 100+50.00 to STA 105+12.10</t>
        </is>
      </c>
      <c r="K281" s="8" t="inlineStr">
        <is>
          <t>Printed quantity: 40 LF of 16 in. C900 DR18 PVC water main at extra depth.</t>
        </is>
      </c>
    </row>
    <row r="282">
      <c r="A282" s="5" t="n">
        <v>271</v>
      </c>
      <c r="B282" s="5" t="inlineStr"/>
      <c r="C282" s="6" t="inlineStr">
        <is>
          <t>12 in. MJ Gate Valve with Box</t>
        </is>
      </c>
      <c r="D282" s="5" t="inlineStr">
        <is>
          <t>EA</t>
        </is>
      </c>
      <c r="E282" s="7" t="n">
        <v>6</v>
      </c>
      <c r="F282" s="8" t="inlineStr"/>
      <c r="G282" s="8" t="inlineStr"/>
      <c r="H282" s="9" t="n">
        <v>93</v>
      </c>
      <c r="I282" s="11" t="inlineStr">
        <is>
          <t>Engineer Review</t>
        </is>
      </c>
      <c r="J282" s="8" t="inlineStr">
        <is>
          <t>Water-main construction callout boxes, sheets 82, 84, and 85</t>
        </is>
      </c>
      <c r="K282" s="8" t="inlineStr">
        <is>
          <t>Summed printed 12 in. gate-valve-with-box counts: 2 + 2 + 2 = 6 Each.</t>
        </is>
      </c>
    </row>
    <row r="283">
      <c r="A283" s="5" t="n">
        <v>272</v>
      </c>
      <c r="B283" s="5" t="inlineStr"/>
      <c r="C283" s="6" t="inlineStr">
        <is>
          <t>Fire Hydrant</t>
        </is>
      </c>
      <c r="D283" s="5" t="inlineStr">
        <is>
          <t>EA</t>
        </is>
      </c>
      <c r="E283" s="7" t="n">
        <v>11</v>
      </c>
      <c r="F283" s="8" t="inlineStr"/>
      <c r="G283" s="8" t="inlineStr"/>
      <c r="H283" s="9" t="n">
        <v>93</v>
      </c>
      <c r="I283" s="11" t="inlineStr">
        <is>
          <t>Engineer Review</t>
        </is>
      </c>
      <c r="J283" s="8" t="inlineStr">
        <is>
          <t>Water-main construction callout boxes, sheets 81-86</t>
        </is>
      </c>
      <c r="K283" s="8" t="inlineStr">
        <is>
          <t>Summed printed fire-hydrant counts from visible construction callout boxes: 2 + 1 + 3 + 1 + 2 + 2 = 11 Each.</t>
        </is>
      </c>
    </row>
    <row r="284">
      <c r="A284" s="5" t="n">
        <v>273</v>
      </c>
      <c r="B284" s="5" t="inlineStr"/>
      <c r="C284" s="6" t="inlineStr">
        <is>
          <t>16 in. Mechanical-Joint Tee, Cross, and Reducer Fittings</t>
        </is>
      </c>
      <c r="D284" s="5" t="inlineStr">
        <is>
          <t>EA</t>
        </is>
      </c>
      <c r="E284" s="7" t="n">
        <v>9</v>
      </c>
      <c r="F284" s="8" t="inlineStr"/>
      <c r="G284" s="8" t="inlineStr"/>
      <c r="H284" s="9" t="n">
        <v>93</v>
      </c>
      <c r="I284" s="11" t="inlineStr">
        <is>
          <t>Engineer Review</t>
        </is>
      </c>
      <c r="J284" s="8" t="inlineStr">
        <is>
          <t>Water-main construction callout boxes, sheets 81-86</t>
        </is>
      </c>
      <c r="K284" s="8" t="inlineStr">
        <is>
          <t>Counted visible 16 in. tees, crosses, and reducers called out in the water-main construction boxes. Includes 16x8 tees, 16x12 crosses, 16x6 reducer, and 16x8 reducer.</t>
        </is>
      </c>
    </row>
    <row r="285">
      <c r="A285" s="5" t="n">
        <v>274</v>
      </c>
      <c r="B285" s="5" t="inlineStr"/>
      <c r="C285" s="6" t="inlineStr">
        <is>
          <t>12 in. Mechanical-Joint Tee, Plug, Cap, and 45 Degree Elbow Fittings</t>
        </is>
      </c>
      <c r="D285" s="5" t="inlineStr">
        <is>
          <t>EA</t>
        </is>
      </c>
      <c r="E285" s="7" t="n">
        <v>19</v>
      </c>
      <c r="F285" s="8" t="inlineStr"/>
      <c r="G285" s="8" t="inlineStr"/>
      <c r="H285" s="9" t="n">
        <v>93</v>
      </c>
      <c r="I285" s="11" t="inlineStr">
        <is>
          <t>Engineer Review</t>
        </is>
      </c>
      <c r="J285" s="8" t="inlineStr">
        <is>
          <t>Water-main construction callout boxes, sheets 82, 84, and 85</t>
        </is>
      </c>
      <c r="K285" s="8" t="inlineStr">
        <is>
          <t>Counted visible printed 12 in. tees, plugs, caps, and 45-degree elbows in the 12 in. water-main callout boxes.</t>
        </is>
      </c>
    </row>
    <row r="286">
      <c r="A286" s="5" t="n">
        <v>275</v>
      </c>
      <c r="B286" s="5" t="inlineStr"/>
      <c r="C286" s="6" t="inlineStr">
        <is>
          <t>8 in. Mechanical-Joint Tee, Plug, Cap, Reducer, and 45 Degree Elbow Fittings</t>
        </is>
      </c>
      <c r="D286" s="5" t="inlineStr">
        <is>
          <t>EA</t>
        </is>
      </c>
      <c r="E286" s="7" t="n">
        <v>17</v>
      </c>
      <c r="F286" s="8" t="inlineStr"/>
      <c r="G286" s="8" t="inlineStr"/>
      <c r="H286" s="9" t="n">
        <v>93</v>
      </c>
      <c r="I286" s="11" t="inlineStr">
        <is>
          <t>Engineer Review</t>
        </is>
      </c>
      <c r="J286" s="8" t="inlineStr">
        <is>
          <t>Water-main construction callout boxes, sheets 83 and 86</t>
        </is>
      </c>
      <c r="K286" s="8" t="inlineStr">
        <is>
          <t>Counted visible printed 8 in. tees, plugs, caps, reducers, and 45-degree elbows in the water-main construction callout boxes.</t>
        </is>
      </c>
    </row>
    <row r="287">
      <c r="A287" s="5" t="n">
        <v>276</v>
      </c>
      <c r="B287" s="5" t="inlineStr"/>
      <c r="C287" s="6" t="inlineStr">
        <is>
          <t>6 in. Mechanical-Joint 45 Degree Elbow Fittings</t>
        </is>
      </c>
      <c r="D287" s="5" t="inlineStr">
        <is>
          <t>EA</t>
        </is>
      </c>
      <c r="E287" s="7" t="n">
        <v>4</v>
      </c>
      <c r="F287" s="8" t="inlineStr"/>
      <c r="G287" s="8" t="inlineStr"/>
      <c r="H287" s="9" t="n">
        <v>93</v>
      </c>
      <c r="I287" s="11" t="inlineStr">
        <is>
          <t>Engineer Review</t>
        </is>
      </c>
      <c r="J287" s="8" t="inlineStr">
        <is>
          <t>Water-main construction callout boxes, sheets 83, 84, 85, and 86</t>
        </is>
      </c>
      <c r="K287" s="8" t="inlineStr">
        <is>
          <t>Counted visible printed 6 in. 45-degree elbow callouts.</t>
        </is>
      </c>
    </row>
    <row r="288">
      <c r="A288" s="5" t="n">
        <v>277</v>
      </c>
      <c r="B288" s="5" t="inlineStr"/>
      <c r="C288" s="6" t="inlineStr">
        <is>
          <t>Mechanical-Joint Retainer Glands</t>
        </is>
      </c>
      <c r="D288" s="5" t="inlineStr">
        <is>
          <t>EA</t>
        </is>
      </c>
      <c r="E288" s="7" t="n">
        <v>97</v>
      </c>
      <c r="F288" s="8" t="inlineStr"/>
      <c r="G288" s="8" t="inlineStr"/>
      <c r="H288" s="9" t="n">
        <v>93</v>
      </c>
      <c r="I288" s="11" t="inlineStr">
        <is>
          <t>Engineer Review</t>
        </is>
      </c>
      <c r="J288" s="8" t="inlineStr">
        <is>
          <t>Water-main construction callout boxes, sheets 81-86</t>
        </is>
      </c>
      <c r="K288" s="8" t="inlineStr">
        <is>
          <t>Summed visible printed M.J. retainer-gland counts from the water-main construction callout boxes. Quantity should be reconciled against final fitting schedules because several callouts have overlapping vicinity limits.</t>
        </is>
      </c>
    </row>
    <row r="289">
      <c r="A289" s="5" t="n">
        <v>278</v>
      </c>
      <c r="B289" s="5" t="inlineStr"/>
      <c r="C289" s="6" t="inlineStr">
        <is>
          <t>Water Main Bedding Material</t>
        </is>
      </c>
      <c r="D289" s="5" t="inlineStr">
        <is>
          <t>CY</t>
        </is>
      </c>
      <c r="E289" s="7" t="n">
        <v>203</v>
      </c>
      <c r="F289" s="8" t="inlineStr"/>
      <c r="G289" s="8" t="inlineStr"/>
      <c r="H289" s="9" t="n">
        <v>93</v>
      </c>
      <c r="I289" s="11" t="inlineStr">
        <is>
          <t>Engineer Review</t>
        </is>
      </c>
      <c r="J289" s="8" t="inlineStr">
        <is>
          <t>Water-main pipe quantities derived from sheets 81-86; water-main bedding detail references</t>
        </is>
      </c>
      <c r="K289" s="8" t="inlineStr">
        <is>
          <t>Estimator takeoff using 6 in. bedding assumption. Quantity = trench width x 0.5 Ft bedding thickness x pipe length / 27, summed by pipe size. Assumed trench widths: 16 in. = 3.38 Ft, 12 in. = 3.05 Ft, 8 in. = 2.72 Ft, 6 in. = 2.63 Ft.</t>
        </is>
      </c>
    </row>
    <row r="290">
      <c r="A290" s="5" t="n">
        <v>279</v>
      </c>
      <c r="B290" s="5" t="inlineStr"/>
      <c r="C290" s="6" t="inlineStr">
        <is>
          <t>16 in PVC Water Main</t>
        </is>
      </c>
      <c r="D290" s="5" t="inlineStr">
        <is>
          <t>LF</t>
        </is>
      </c>
      <c r="E290" s="7" t="n">
        <v>600</v>
      </c>
      <c r="F290" s="8" t="inlineStr"/>
      <c r="G290" s="8" t="inlineStr"/>
      <c r="H290" s="9" t="n">
        <v>93</v>
      </c>
      <c r="I290" s="11" t="inlineStr">
        <is>
          <t>Engineer Review</t>
        </is>
      </c>
      <c r="J290" s="8" t="inlineStr">
        <is>
          <t>Cross sections M6-M10; proposed 16 in PVC is labeled at STA 75+00, 75+50, 76+00, 77+00, 77+50, 78+00, 78+50, 79+00, 79+50, 80+00, 80+50, and 81+00.</t>
        </is>
      </c>
      <c r="K290" s="8" t="inlineStr">
        <is>
          <t>Stationed extent taken from first visible 16 in PVC label at STA 75+00 through STA 81+00: 81+00 - 75+00 = 600 Ft. This includes the two shown steel-casing crossing locations.</t>
        </is>
      </c>
    </row>
    <row r="291">
      <c r="A291" s="5" t="n">
        <v>280</v>
      </c>
      <c r="B291" s="5" t="inlineStr"/>
      <c r="C291" s="6" t="inlineStr">
        <is>
          <t>24 in Steel Casing for Water Main Crossing</t>
        </is>
      </c>
      <c r="D291" s="5" t="inlineStr">
        <is>
          <t>EA</t>
        </is>
      </c>
      <c r="E291" s="7" t="n">
        <v>2</v>
      </c>
      <c r="F291" s="8" t="inlineStr"/>
      <c r="G291" s="8" t="inlineStr"/>
      <c r="H291" s="9" t="n">
        <v>93</v>
      </c>
      <c r="I291" s="11" t="inlineStr">
        <is>
          <t>Engineer Review</t>
        </is>
      </c>
      <c r="J291" s="8" t="inlineStr">
        <is>
          <t>M7 cross section at STA 76+50 labels 24 in STEEL CASING; M10 cross section at STA 80+50 labels 24 in STEEL CASING.</t>
        </is>
      </c>
      <c r="K291" s="8" t="inlineStr">
        <is>
          <t>Counted two individually labeled 24 in steel casing installations: one at approximately STA 76+48.50 and one at approximately STA 80+49.95. Casing lengths are not dimensioned on these cross sections.</t>
        </is>
      </c>
    </row>
    <row r="292">
      <c r="A292" s="5" t="n">
        <v>281</v>
      </c>
      <c r="B292" s="5" t="inlineStr"/>
      <c r="C292" s="6" t="inlineStr">
        <is>
          <t>Water Main Bedding for 16 in PVC</t>
        </is>
      </c>
      <c r="D292" s="5" t="inlineStr">
        <is>
          <t>CY</t>
        </is>
      </c>
      <c r="E292" s="7" t="n">
        <v>37.04</v>
      </c>
      <c r="F292" s="8" t="inlineStr"/>
      <c r="G292" s="8" t="inlineStr"/>
      <c r="H292" s="9" t="n">
        <v>93</v>
      </c>
      <c r="I292" s="11" t="inlineStr">
        <is>
          <t>Engineer Review</t>
        </is>
      </c>
      <c r="J292" s="8" t="inlineStr">
        <is>
          <t>16 in PVC water main extent shown on M6-M10, STA 75+00 through STA 81+00.</t>
        </is>
      </c>
      <c r="K292" s="8" t="inlineStr">
        <is>
          <t>Derived quantity. Assumptions: 6 in bedding thickness and 3.333 Ft trench width. Quantity = 3.333 Ft x 0.5 Ft x 600 Ft / 27 = 37.04 CuYd.</t>
        </is>
      </c>
    </row>
    <row r="293">
      <c r="A293" s="5" t="n">
        <v>282</v>
      </c>
      <c r="B293" s="5" t="inlineStr"/>
      <c r="C293" s="6" t="inlineStr">
        <is>
          <t>16-inch PVC Water Main</t>
        </is>
      </c>
      <c r="D293" s="5" t="inlineStr">
        <is>
          <t>LF</t>
        </is>
      </c>
      <c r="E293" s="7" t="n">
        <v>1150</v>
      </c>
      <c r="F293" s="8" t="inlineStr"/>
      <c r="G293" s="8" t="inlineStr"/>
      <c r="H293" s="9" t="n">
        <v>93</v>
      </c>
      <c r="I293" s="11" t="inlineStr">
        <is>
          <t>Engineer Review</t>
        </is>
      </c>
      <c r="J293" s="8" t="inlineStr">
        <is>
          <t>Cross sections M11-M18, Sta. 81+50 through Sta. 93+00; proposed utility label "16 in. PVC" is shown in each displayed section.</t>
        </is>
      </c>
      <c r="K293" s="8" t="inlineStr">
        <is>
          <t>Continuous station range: 93+00 - 81+50 = 1,150 Ft. Quantity excludes pipe within 24-inch steel casings because casing extents are not printed on these cross-section sheets.</t>
        </is>
      </c>
    </row>
    <row r="294">
      <c r="A294" s="5" t="n">
        <v>283</v>
      </c>
      <c r="B294" s="5" t="inlineStr"/>
      <c r="C294" s="6" t="inlineStr">
        <is>
          <t>Water Main Bedding for 16-inch PVC Water Main</t>
        </is>
      </c>
      <c r="D294" s="5" t="inlineStr">
        <is>
          <t>CY</t>
        </is>
      </c>
      <c r="E294" s="7" t="n">
        <v>71</v>
      </c>
      <c r="F294" s="8" t="inlineStr"/>
      <c r="G294" s="8" t="inlineStr"/>
      <c r="H294" s="9" t="n">
        <v>93</v>
      </c>
      <c r="I294" s="11" t="inlineStr">
        <is>
          <t>Engineer Review</t>
        </is>
      </c>
      <c r="J294" s="8" t="inlineStr">
        <is>
          <t>M11-M18 proposed 16-inch PVC water-main cross-section utility callouts.</t>
        </is>
      </c>
      <c r="K294" s="8" t="inlineStr">
        <is>
          <t>1,150 Ft × 3.333 Ft trench width × 0.50 Ft assumed bedding thickness / 27 = 71.0 CuYd. Assumptions: trench width = 16-inch nominal OD + 2 Ft; bedding thickness = 6 inches.</t>
        </is>
      </c>
    </row>
    <row r="295">
      <c r="A295" s="5" t="n">
        <v>284</v>
      </c>
      <c r="B295" s="5" t="inlineStr"/>
      <c r="C295" s="6" t="inlineStr">
        <is>
          <t>Water Main Bedding Material for 16-inch PVC</t>
        </is>
      </c>
      <c r="D295" s="5" t="inlineStr">
        <is>
          <t>CY</t>
        </is>
      </c>
      <c r="E295" s="7" t="n">
        <v>71</v>
      </c>
      <c r="F295" s="8" t="inlineStr"/>
      <c r="G295" s="8" t="inlineStr"/>
      <c r="H295" s="9" t="n">
        <v>93</v>
      </c>
      <c r="I295" s="11" t="inlineStr">
        <is>
          <t>Engineer Review</t>
        </is>
      </c>
      <c r="J295" s="8" t="inlineStr">
        <is>
          <t>Proposed 16-inch PVC water-main callouts, Sheets M19-M26; 6-inch bedding assumption</t>
        </is>
      </c>
      <c r="K295" s="8" t="inlineStr">
        <is>
          <t>1,150 Ft x 3.333 Ft assumed trench width x 0.5 Ft assumed bedding thickness / 27 = 71 CuYd.</t>
        </is>
      </c>
    </row>
    <row r="296">
      <c r="A296" s="5" t="n">
        <v>285</v>
      </c>
      <c r="B296" s="5" t="inlineStr"/>
      <c r="C296" s="6" t="inlineStr">
        <is>
          <t>24-inch Steel Casing, Water Main Crossing Locations</t>
        </is>
      </c>
      <c r="D296" s="5" t="inlineStr">
        <is>
          <t>EA</t>
        </is>
      </c>
      <c r="E296" s="7" t="n">
        <v>3</v>
      </c>
      <c r="F296" s="8" t="inlineStr"/>
      <c r="G296" s="8" t="inlineStr"/>
      <c r="H296" s="9" t="n">
        <v>93</v>
      </c>
      <c r="I296" s="11" t="inlineStr">
        <is>
          <t>Engineer Review</t>
        </is>
      </c>
      <c r="J296" s="8" t="inlineStr">
        <is>
          <t>24-inch steel casing callouts at STA. 93+50 (p145), STA. 97+00 (p147), and STA. 102+50 (p151)</t>
        </is>
      </c>
      <c r="K296" s="8" t="inlineStr">
        <is>
          <t>Counted three distinct 24-inch steel-casing callout locations. Casing lengths are not shown on these cross-section sheets; quantity is reported as locations rather than casing linear footage.</t>
        </is>
      </c>
    </row>
    <row r="297">
      <c r="A297" s="5" t="n">
        <v>286</v>
      </c>
      <c r="B297" s="5" t="inlineStr"/>
      <c r="C297" s="6" t="inlineStr">
        <is>
          <t>Concrete Thrust Block at Fire Hydrant</t>
        </is>
      </c>
      <c r="D297" s="5" t="inlineStr">
        <is>
          <t>CY</t>
        </is>
      </c>
      <c r="E297" s="7" t="n">
        <v>0.25</v>
      </c>
      <c r="F297" s="8" t="inlineStr"/>
      <c r="G297" s="8" t="inlineStr"/>
      <c r="H297" s="9" t="n">
        <v>95</v>
      </c>
      <c r="I297" s="11" t="inlineStr">
        <is>
          <t>Engineer Review</t>
        </is>
      </c>
      <c r="J297" s="8" t="inlineStr">
        <is>
          <t>Hydrant Connection detail callout: Concrete thrust block - to be carried to undisturbed soil (approx. 0.25 Cu.Yd.)</t>
        </is>
      </c>
      <c r="K297" s="8" t="inlineStr">
        <is>
          <t>Printed detail quantity is approximately 0.25 CuYd per hydrant connection; project hydrant count is not shown.</t>
        </is>
      </c>
    </row>
    <row r="298">
      <c r="A298" s="5" t="n">
        <v>287</v>
      </c>
      <c r="B298" s="5" t="inlineStr"/>
      <c r="C298" s="6" t="inlineStr">
        <is>
          <t>Concrete Thrust Blocks for PVC Gate Valve</t>
        </is>
      </c>
      <c r="D298" s="5" t="inlineStr">
        <is>
          <t>EA</t>
        </is>
      </c>
      <c r="E298" s="7" t="n">
        <v>2</v>
      </c>
      <c r="F298" s="8" t="inlineStr"/>
      <c r="G298" s="8" t="inlineStr"/>
      <c r="H298" s="9" t="n">
        <v>95</v>
      </c>
      <c r="I298" s="11" t="inlineStr">
        <is>
          <t>Engineer Review</t>
        </is>
      </c>
      <c r="J298" s="8" t="inlineStr">
        <is>
          <t>PVC Gate Valve Installation detail callout: 2-8 inch x 4 inch x 16 inch Concrete Thrust Blocks</t>
        </is>
      </c>
      <c r="K298" s="8" t="inlineStr">
        <is>
          <t>Printed detail count is two 8-inch x 4-inch x 16-inch concrete thrust blocks per PVC gate-valve installation; project valve count is not shown.</t>
        </is>
      </c>
    </row>
    <row r="299">
      <c r="A299" s="5" t="n">
        <v>288</v>
      </c>
      <c r="B299" s="5" t="inlineStr"/>
      <c r="C299" s="6" t="inlineStr">
        <is>
          <t>Water Main Bedding Material - 4 Inch Pipe</t>
        </is>
      </c>
      <c r="D299" s="5" t="inlineStr">
        <is>
          <t>T</t>
        </is>
      </c>
      <c r="E299" s="7" t="n">
        <v>0.21</v>
      </c>
      <c r="F299" s="8" t="inlineStr"/>
      <c r="G299" s="8" t="inlineStr"/>
      <c r="H299" s="9" t="n">
        <v>95</v>
      </c>
      <c r="I299" s="11" t="inlineStr">
        <is>
          <t>Engineer Review</t>
        </is>
      </c>
      <c r="J299" s="8" t="inlineStr">
        <is>
          <t>Water Main Bedding table, 4 inch pipe row</t>
        </is>
      </c>
      <c r="K299" s="8" t="inlineStr">
        <is>
          <t>Printed factor: trench width 28 inches, trench height 16 inches, water-main bedding material area 3.02 SqFt, and 0.21 Tons/LF. Quantity is a per-linear-foot factor, not a project total.</t>
        </is>
      </c>
    </row>
    <row r="300">
      <c r="A300" s="5" t="n">
        <v>289</v>
      </c>
      <c r="B300" s="5" t="inlineStr"/>
      <c r="C300" s="6" t="inlineStr">
        <is>
          <t>Water Main Bedding Material - 6 Inch Pipe</t>
        </is>
      </c>
      <c r="D300" s="5" t="inlineStr">
        <is>
          <t>T</t>
        </is>
      </c>
      <c r="E300" s="7" t="n">
        <v>0.25</v>
      </c>
      <c r="F300" s="8" t="inlineStr"/>
      <c r="G300" s="8" t="inlineStr"/>
      <c r="H300" s="9" t="n">
        <v>95</v>
      </c>
      <c r="I300" s="11" t="inlineStr">
        <is>
          <t>Engineer Review</t>
        </is>
      </c>
      <c r="J300" s="8" t="inlineStr">
        <is>
          <t>Water Main Bedding table, 6 inch pipe row</t>
        </is>
      </c>
      <c r="K300" s="8" t="inlineStr">
        <is>
          <t>Printed factor: trench width 30 inches, trench height 18 inches, water-main bedding material area 3.55 SqFt, and 0.25 Tons/LF. Quantity is a per-linear-foot factor, not a project total.</t>
        </is>
      </c>
    </row>
    <row r="301">
      <c r="A301" s="5" t="n">
        <v>290</v>
      </c>
      <c r="B301" s="5" t="inlineStr"/>
      <c r="C301" s="6" t="inlineStr">
        <is>
          <t>Water Main Bedding Material - 8 Inch Pipe</t>
        </is>
      </c>
      <c r="D301" s="5" t="inlineStr">
        <is>
          <t>T</t>
        </is>
      </c>
      <c r="E301" s="7" t="n">
        <v>0.29</v>
      </c>
      <c r="F301" s="8" t="inlineStr"/>
      <c r="G301" s="8" t="inlineStr"/>
      <c r="H301" s="9" t="n">
        <v>95</v>
      </c>
      <c r="I301" s="11" t="inlineStr">
        <is>
          <t>Engineer Review</t>
        </is>
      </c>
      <c r="J301" s="8" t="inlineStr">
        <is>
          <t>Water Main Bedding table, 8 inch pipe row</t>
        </is>
      </c>
      <c r="K301" s="8" t="inlineStr">
        <is>
          <t>Printed factor: trench width 32 inches, trench height 20 inches, water-main bedding material area 4.10 SqFt, and 0.29 Tons/LF. Quantity is a per-linear-foot factor, not a project total.</t>
        </is>
      </c>
    </row>
    <row r="302">
      <c r="A302" s="5" t="n">
        <v>291</v>
      </c>
      <c r="B302" s="5" t="inlineStr"/>
      <c r="C302" s="6" t="inlineStr">
        <is>
          <t>Water Main Bedding Material - 10 Inch Pipe</t>
        </is>
      </c>
      <c r="D302" s="5" t="inlineStr">
        <is>
          <t>T</t>
        </is>
      </c>
      <c r="E302" s="7" t="n">
        <v>0.33</v>
      </c>
      <c r="F302" s="8" t="inlineStr"/>
      <c r="G302" s="8" t="inlineStr"/>
      <c r="H302" s="9" t="n">
        <v>95</v>
      </c>
      <c r="I302" s="11" t="inlineStr">
        <is>
          <t>Engineer Review</t>
        </is>
      </c>
      <c r="J302" s="8" t="inlineStr">
        <is>
          <t>Water Main Bedding table, 10 inch pipe row</t>
        </is>
      </c>
      <c r="K302" s="8" t="inlineStr">
        <is>
          <t>Printed factor: trench width 34 inches, trench height 22 inches, water-main bedding material area 4.65 SqFt, and 0.33 Tons/LF. Quantity is a per-linear-foot factor, not a project total.</t>
        </is>
      </c>
    </row>
    <row r="303">
      <c r="A303" s="5" t="n">
        <v>292</v>
      </c>
      <c r="B303" s="5" t="inlineStr"/>
      <c r="C303" s="6" t="inlineStr">
        <is>
          <t>Water Main Bedding Material - 12 Inch Pipe</t>
        </is>
      </c>
      <c r="D303" s="5" t="inlineStr">
        <is>
          <t>T</t>
        </is>
      </c>
      <c r="E303" s="7" t="n">
        <v>0.37</v>
      </c>
      <c r="F303" s="8" t="inlineStr"/>
      <c r="G303" s="8" t="inlineStr"/>
      <c r="H303" s="9" t="n">
        <v>95</v>
      </c>
      <c r="I303" s="11" t="inlineStr">
        <is>
          <t>Engineer Review</t>
        </is>
      </c>
      <c r="J303" s="8" t="inlineStr">
        <is>
          <t>Water Main Bedding table, 12 inch pipe row</t>
        </is>
      </c>
      <c r="K303" s="8" t="inlineStr">
        <is>
          <t>Printed factor: trench width 36 inches, trench height 24 inches, water-main bedding material area 5.22 SqFt, and 0.37 Tons/LF. Quantity is a per-linear-foot factor, not a project total.</t>
        </is>
      </c>
    </row>
    <row r="304">
      <c r="A304" s="5" t="n">
        <v>293</v>
      </c>
      <c r="B304" s="5" t="inlineStr"/>
      <c r="C304" s="6" t="inlineStr">
        <is>
          <t>Water Main Bedding Material - 16 Inch Pipe</t>
        </is>
      </c>
      <c r="D304" s="5" t="inlineStr">
        <is>
          <t>T</t>
        </is>
      </c>
      <c r="E304" s="7" t="n">
        <v>0.45</v>
      </c>
      <c r="F304" s="8" t="inlineStr"/>
      <c r="G304" s="8" t="inlineStr"/>
      <c r="H304" s="9" t="n">
        <v>95</v>
      </c>
      <c r="I304" s="11" t="inlineStr">
        <is>
          <t>Engineer Review</t>
        </is>
      </c>
      <c r="J304" s="8" t="inlineStr">
        <is>
          <t>Water Main Bedding table, 16 inch pipe row</t>
        </is>
      </c>
      <c r="K304" s="8" t="inlineStr">
        <is>
          <t>Printed factor: trench width 40 inches, trench height 28 inches, water-main bedding material area 6.38 SqFt, and 0.45 Tons/LF. Quantity is a per-linear-foot factor, not a project total.</t>
        </is>
      </c>
    </row>
    <row r="305">
      <c r="A305" s="5" t="n">
        <v>294</v>
      </c>
      <c r="B305" s="5" t="inlineStr"/>
      <c r="C305" s="6" t="inlineStr">
        <is>
          <t>Water Main Bedding Material - 20 Inch Pipe</t>
        </is>
      </c>
      <c r="D305" s="5" t="inlineStr">
        <is>
          <t>T</t>
        </is>
      </c>
      <c r="E305" s="7" t="n">
        <v>0.53</v>
      </c>
      <c r="F305" s="8" t="inlineStr"/>
      <c r="G305" s="8" t="inlineStr"/>
      <c r="H305" s="9" t="n">
        <v>95</v>
      </c>
      <c r="I305" s="11" t="inlineStr">
        <is>
          <t>Engineer Review</t>
        </is>
      </c>
      <c r="J305" s="8" t="inlineStr">
        <is>
          <t>Water Main Bedding table, 20 inch pipe row</t>
        </is>
      </c>
      <c r="K305" s="8" t="inlineStr">
        <is>
          <t>Printed factor: trench width 44 inches, trench height 32 inches, water-main bedding material area 7.60 SqFt, and 0.53 Tons/LF. Quantity is a per-linear-foot factor, not a project total.</t>
        </is>
      </c>
    </row>
    <row r="306">
      <c r="A306" s="5" t="n">
        <v>295</v>
      </c>
      <c r="B306" s="5" t="inlineStr"/>
      <c r="C306" s="6" t="inlineStr">
        <is>
          <t>Water Main Bedding Material - 24 Inch Pipe</t>
        </is>
      </c>
      <c r="D306" s="5" t="inlineStr">
        <is>
          <t>T</t>
        </is>
      </c>
      <c r="E306" s="7" t="n">
        <v>0.62</v>
      </c>
      <c r="F306" s="8" t="inlineStr"/>
      <c r="G306" s="8" t="inlineStr"/>
      <c r="H306" s="9" t="n">
        <v>95</v>
      </c>
      <c r="I306" s="11" t="inlineStr">
        <is>
          <t>Engineer Review</t>
        </is>
      </c>
      <c r="J306" s="8" t="inlineStr">
        <is>
          <t>Water Main Bedding table, 24 inch pipe row</t>
        </is>
      </c>
      <c r="K306" s="8" t="inlineStr">
        <is>
          <t>Printed factor: trench width 48 inches, trench height 36 inches, water-main bedding material area 8.86 SqFt, and 0.62 Tons/LF. Quantity is a per-linear-foot factor, not a project total.</t>
        </is>
      </c>
    </row>
    <row r="307">
      <c r="A307" s="5" t="n">
        <v>296</v>
      </c>
      <c r="B307" s="5" t="inlineStr"/>
      <c r="C307" s="6" t="inlineStr">
        <is>
          <t>Water Main Bedding Material - 30 Inch Pipe</t>
        </is>
      </c>
      <c r="D307" s="5" t="inlineStr">
        <is>
          <t>T</t>
        </is>
      </c>
      <c r="E307" s="7" t="n">
        <v>0.88</v>
      </c>
      <c r="F307" s="8" t="inlineStr"/>
      <c r="G307" s="8" t="inlineStr"/>
      <c r="H307" s="9" t="n">
        <v>95</v>
      </c>
      <c r="I307" s="11" t="inlineStr">
        <is>
          <t>Engineer Review</t>
        </is>
      </c>
      <c r="J307" s="8" t="inlineStr">
        <is>
          <t>Water Main Bedding table, 30 inch pipe row</t>
        </is>
      </c>
      <c r="K307" s="8" t="inlineStr">
        <is>
          <t>Printed factor: trench width 60 inches, trench height 42 inches, water-main bedding material area 12.59 SqFt, and 0.88 Tons/LF. Quantity is a per-linear-foot factor, not a project total.</t>
        </is>
      </c>
    </row>
    <row r="308">
      <c r="A308" s="3" t="inlineStr">
        <is>
          <t>Water &amp; Sewer Services</t>
        </is>
      </c>
      <c r="B308" s="4" t="n"/>
      <c r="C308" s="4" t="n"/>
      <c r="D308" s="4" t="n"/>
      <c r="E308" s="4" t="n"/>
      <c r="F308" s="4" t="n"/>
      <c r="G308" s="4" t="n"/>
      <c r="H308" s="4" t="n"/>
      <c r="I308" s="4" t="n"/>
      <c r="J308" s="4" t="n"/>
      <c r="K308" s="4" t="n"/>
    </row>
    <row r="309">
      <c r="A309" s="5" t="n">
        <v>297</v>
      </c>
      <c r="B309" s="5" t="inlineStr"/>
      <c r="C309" s="6" t="inlineStr">
        <is>
          <t>1-1/2 in. PE Water Service Piping</t>
        </is>
      </c>
      <c r="D309" s="5" t="inlineStr">
        <is>
          <t>LF</t>
        </is>
      </c>
      <c r="E309" s="7" t="n">
        <v>120</v>
      </c>
      <c r="F309" s="8" t="inlineStr"/>
      <c r="G309" s="8" t="inlineStr"/>
      <c r="H309" s="9" t="n">
        <v>93</v>
      </c>
      <c r="I309" s="11" t="inlineStr">
        <is>
          <t>Engineer Review</t>
        </is>
      </c>
      <c r="J309" s="8" t="inlineStr">
        <is>
          <t>Construction Water Service callout boxes, sheets 83, 84, and 86</t>
        </is>
      </c>
      <c r="K309" s="8" t="inlineStr">
        <is>
          <t>Summed printed 1-1/2 in. PE water-service quantities: 15 + 10 + 95 = 120 Ft.</t>
        </is>
      </c>
    </row>
    <row r="310">
      <c r="A310" s="5" t="n">
        <v>298</v>
      </c>
      <c r="B310" s="5" t="inlineStr"/>
      <c r="C310" s="6" t="inlineStr">
        <is>
          <t>8 in. x 1-1/2 in. Water Service Tap</t>
        </is>
      </c>
      <c r="D310" s="5" t="inlineStr">
        <is>
          <t>EA</t>
        </is>
      </c>
      <c r="E310" s="7" t="n">
        <v>3</v>
      </c>
      <c r="F310" s="8" t="inlineStr"/>
      <c r="G310" s="8" t="inlineStr"/>
      <c r="H310" s="9" t="n">
        <v>93</v>
      </c>
      <c r="I310" s="11" t="inlineStr">
        <is>
          <t>Engineer Review</t>
        </is>
      </c>
      <c r="J310" s="8" t="inlineStr">
        <is>
          <t>Construction Water Service callout boxes, sheets 83, 84, and 86</t>
        </is>
      </c>
      <c r="K310" s="8" t="inlineStr">
        <is>
          <t>One printed water-service tap in each construction-water-service callout box; 3 total.</t>
        </is>
      </c>
    </row>
    <row r="311">
      <c r="A311" s="5" t="n">
        <v>299</v>
      </c>
      <c r="B311" s="5" t="inlineStr"/>
      <c r="C311" s="6" t="inlineStr">
        <is>
          <t>1-1/2 in. Water Service Valve Box</t>
        </is>
      </c>
      <c r="D311" s="5" t="inlineStr">
        <is>
          <t>EA</t>
        </is>
      </c>
      <c r="E311" s="7" t="n">
        <v>1</v>
      </c>
      <c r="F311" s="8" t="inlineStr"/>
      <c r="G311" s="8" t="inlineStr"/>
      <c r="H311" s="9" t="n">
        <v>93</v>
      </c>
      <c r="I311" s="11" t="inlineStr">
        <is>
          <t>Engineer Review</t>
        </is>
      </c>
      <c r="J311" s="8" t="inlineStr">
        <is>
          <t>Sheet 86 Construction Water Service callout</t>
        </is>
      </c>
      <c r="K311" s="8" t="inlineStr">
        <is>
          <t>Printed quantity: 1 EA water-service valve box.</t>
        </is>
      </c>
    </row>
    <row r="312">
      <c r="A312" s="3" t="inlineStr">
        <is>
          <t>Traffic Signals &amp; Signing</t>
        </is>
      </c>
      <c r="B312" s="4" t="n"/>
      <c r="C312" s="4" t="n"/>
      <c r="D312" s="4" t="n"/>
      <c r="E312" s="4" t="n"/>
      <c r="F312" s="4" t="n"/>
      <c r="G312" s="4" t="n"/>
      <c r="H312" s="4" t="n"/>
      <c r="I312" s="4" t="n"/>
      <c r="J312" s="4" t="n"/>
      <c r="K312" s="4" t="n"/>
    </row>
    <row r="313">
      <c r="A313" s="5" t="n">
        <v>300</v>
      </c>
      <c r="B313" s="5" t="inlineStr"/>
      <c r="C313" s="6" t="inlineStr">
        <is>
          <t>PVC Conduit, Schedule 40, 1 inch</t>
        </is>
      </c>
      <c r="D313" s="5" t="inlineStr">
        <is>
          <t>LF</t>
        </is>
      </c>
      <c r="E313" s="7" t="n">
        <v>360</v>
      </c>
      <c r="F313" s="8" t="inlineStr"/>
      <c r="G313" s="8" t="inlineStr"/>
      <c r="H313" s="9" t="n">
        <v>95</v>
      </c>
      <c r="I313" s="11" t="inlineStr">
        <is>
          <t>Engineer Review</t>
        </is>
      </c>
      <c r="J313" s="8" t="inlineStr">
        <is>
          <t>L2, Table for Conduit &amp; Cable Quantities, total row</t>
        </is>
      </c>
      <c r="K313" s="8" t="inlineStr">
        <is>
          <t>Extracted from the total row of the conduit and cable quantity table.</t>
        </is>
      </c>
    </row>
    <row r="314">
      <c r="A314" s="5" t="n">
        <v>301</v>
      </c>
      <c r="B314" s="5" t="inlineStr"/>
      <c r="C314" s="6" t="inlineStr">
        <is>
          <t>PVC Conduit, Schedule 40, 2 inch</t>
        </is>
      </c>
      <c r="D314" s="5" t="inlineStr">
        <is>
          <t>LF</t>
        </is>
      </c>
      <c r="E314" s="7" t="n">
        <v>180</v>
      </c>
      <c r="F314" s="8" t="inlineStr"/>
      <c r="G314" s="8" t="inlineStr"/>
      <c r="H314" s="9" t="n">
        <v>95</v>
      </c>
      <c r="I314" s="11" t="inlineStr">
        <is>
          <t>Engineer Review</t>
        </is>
      </c>
      <c r="J314" s="8" t="inlineStr">
        <is>
          <t>L2, Table for Conduit &amp; Cable Quantities, total row</t>
        </is>
      </c>
      <c r="K314" s="8" t="inlineStr">
        <is>
          <t>Extracted from the total row of the conduit and cable quantity table.</t>
        </is>
      </c>
    </row>
    <row r="315">
      <c r="A315" s="5" t="n">
        <v>302</v>
      </c>
      <c r="B315" s="5" t="inlineStr"/>
      <c r="C315" s="6" t="inlineStr">
        <is>
          <t>PVC Conduit, Schedule 80, 2 inch</t>
        </is>
      </c>
      <c r="D315" s="5" t="inlineStr">
        <is>
          <t>LF</t>
        </is>
      </c>
      <c r="E315" s="7" t="n">
        <v>715</v>
      </c>
      <c r="F315" s="8" t="inlineStr"/>
      <c r="G315" s="8" t="inlineStr"/>
      <c r="H315" s="9" t="n">
        <v>95</v>
      </c>
      <c r="I315" s="11" t="inlineStr">
        <is>
          <t>Engineer Review</t>
        </is>
      </c>
      <c r="J315" s="8" t="inlineStr">
        <is>
          <t>L2, Table for Conduit &amp; Cable Quantities, total row</t>
        </is>
      </c>
      <c r="K315" s="8" t="inlineStr">
        <is>
          <t>Extracted from the total row of the conduit and cable quantity table.</t>
        </is>
      </c>
    </row>
    <row r="316">
      <c r="A316" s="5" t="n">
        <v>303</v>
      </c>
      <c r="B316" s="5" t="inlineStr"/>
      <c r="C316" s="6" t="inlineStr">
        <is>
          <t>PVC Conduit, Schedule 80, 3 inch</t>
        </is>
      </c>
      <c r="D316" s="5" t="inlineStr">
        <is>
          <t>LF</t>
        </is>
      </c>
      <c r="E316" s="7" t="n">
        <v>260</v>
      </c>
      <c r="F316" s="8" t="inlineStr"/>
      <c r="G316" s="8" t="inlineStr"/>
      <c r="H316" s="9" t="n">
        <v>95</v>
      </c>
      <c r="I316" s="11" t="inlineStr">
        <is>
          <t>Engineer Review</t>
        </is>
      </c>
      <c r="J316" s="8" t="inlineStr">
        <is>
          <t>L2, Table for Conduit &amp; Cable Quantities, total row</t>
        </is>
      </c>
      <c r="K316" s="8" t="inlineStr">
        <is>
          <t>Extracted from the total row of the conduit and cable quantity table.</t>
        </is>
      </c>
    </row>
    <row r="317">
      <c r="A317" s="5" t="n">
        <v>304</v>
      </c>
      <c r="B317" s="5" t="inlineStr"/>
      <c r="C317" s="6" t="inlineStr">
        <is>
          <t>Innerduct, SDR 13.5, 1 inch</t>
        </is>
      </c>
      <c r="D317" s="5" t="inlineStr">
        <is>
          <t>LF</t>
        </is>
      </c>
      <c r="E317" s="7" t="n">
        <v>2515</v>
      </c>
      <c r="F317" s="8" t="inlineStr"/>
      <c r="G317" s="8" t="inlineStr"/>
      <c r="H317" s="9" t="n">
        <v>95</v>
      </c>
      <c r="I317" s="11" t="inlineStr">
        <is>
          <t>Engineer Review</t>
        </is>
      </c>
      <c r="J317" s="8" t="inlineStr">
        <is>
          <t>L2, Table for Conduit &amp; Cable Quantities, total row</t>
        </is>
      </c>
      <c r="K317" s="8" t="inlineStr">
        <is>
          <t>Extracted from the total row of the conduit and cable quantity table.</t>
        </is>
      </c>
    </row>
    <row r="318">
      <c r="A318" s="5" t="n">
        <v>305</v>
      </c>
      <c r="B318" s="5" t="inlineStr"/>
      <c r="C318" s="6" t="inlineStr">
        <is>
          <t>Cable, 1C #12</t>
        </is>
      </c>
      <c r="D318" s="5" t="inlineStr">
        <is>
          <t>LF</t>
        </is>
      </c>
      <c r="E318" s="7" t="n">
        <v>8640</v>
      </c>
      <c r="F318" s="8" t="inlineStr"/>
      <c r="G318" s="8" t="inlineStr"/>
      <c r="H318" s="9" t="n">
        <v>95</v>
      </c>
      <c r="I318" s="11" t="inlineStr">
        <is>
          <t>Engineer Review</t>
        </is>
      </c>
      <c r="J318" s="8" t="inlineStr">
        <is>
          <t>L2, Table for Conduit &amp; Cable Quantities, total row; note states cable quantities include 6 ft slack/coil in each junction box unless shown otherwise</t>
        </is>
      </c>
      <c r="K318" s="8" t="inlineStr">
        <is>
          <t>Extracted from the total row of the conduit and cable quantity table. Quantity includes specified junction-box slack/coil.</t>
        </is>
      </c>
    </row>
    <row r="319">
      <c r="A319" s="5" t="n">
        <v>306</v>
      </c>
      <c r="B319" s="5" t="inlineStr"/>
      <c r="C319" s="6" t="inlineStr">
        <is>
          <t>Locator Ball</t>
        </is>
      </c>
      <c r="D319" s="5" t="inlineStr">
        <is>
          <t>EA</t>
        </is>
      </c>
      <c r="E319" s="7" t="n">
        <v>6</v>
      </c>
      <c r="F319" s="8" t="inlineStr"/>
      <c r="G319" s="8" t="inlineStr"/>
      <c r="H319" s="9" t="n">
        <v>95</v>
      </c>
      <c r="I319" s="11" t="inlineStr">
        <is>
          <t>Engineer Review</t>
        </is>
      </c>
      <c r="J319" s="8" t="inlineStr">
        <is>
          <t>L1, Table for Locator Ball, total row</t>
        </is>
      </c>
      <c r="K319" s="8" t="inlineStr">
        <is>
          <t>Extracted from the locator-ball table total; locations include Phillip Street &amp; Tallgrass Avenue intersection and Sta. 98+50 &amp; Tallgrass Avenue intersection.</t>
        </is>
      </c>
    </row>
    <row r="320">
      <c r="A320" s="5" t="n">
        <v>307</v>
      </c>
      <c r="B320" s="5" t="inlineStr"/>
      <c r="C320" s="6" t="inlineStr">
        <is>
          <t>Incidental Work, Traffic</t>
        </is>
      </c>
      <c r="D320" s="5" t="inlineStr">
        <is>
          <t>LS</t>
        </is>
      </c>
      <c r="E320" s="7" t="n">
        <v>1</v>
      </c>
      <c r="F320" s="8" t="inlineStr"/>
      <c r="G320" s="8" t="inlineStr"/>
      <c r="H320" s="9" t="n">
        <v>93</v>
      </c>
      <c r="I320" s="11" t="inlineStr">
        <is>
          <t>Engineer Review</t>
        </is>
      </c>
      <c r="J320" s="8" t="inlineStr">
        <is>
          <t>L1, Incidental Work, Traffic note</t>
        </is>
      </c>
      <c r="K320" s="8" t="inlineStr">
        <is>
          <t>One lump-sum incidental traffic-work item inferred from note stating that Incidental Work, Traffic includes installation of PVC pipe and concrete grout at future pedestrian push-button post locations.</t>
        </is>
      </c>
    </row>
    <row r="321">
      <c r="A321" s="5" t="n">
        <v>308</v>
      </c>
      <c r="B321" s="5" t="inlineStr"/>
      <c r="C321" s="6" t="inlineStr">
        <is>
          <t>TJB9 - 12 in</t>
        </is>
      </c>
      <c r="D321" s="5" t="inlineStr">
        <is>
          <t>EA</t>
        </is>
      </c>
      <c r="E321" s="7" t="n">
        <v>1</v>
      </c>
      <c r="F321" s="8" t="inlineStr"/>
      <c r="G321" s="8" t="inlineStr"/>
      <c r="H321" s="9" t="n">
        <v>95</v>
      </c>
      <c r="I321" s="11" t="inlineStr">
        <is>
          <t>Engineer Review</t>
        </is>
      </c>
      <c r="J321" s="8" t="inlineStr">
        <is>
          <t>Sheet L7, Proposed Traffic Signal/Fiber Locations table: TJB9 - 12 in, Sta. 83+11.64; 67.1 ft R</t>
        </is>
      </c>
      <c r="K321" s="8" t="inlineStr">
        <is>
          <t>One table row counted as one proposed traffic junction box.</t>
        </is>
      </c>
    </row>
    <row r="322">
      <c r="A322" s="5" t="n">
        <v>309</v>
      </c>
      <c r="B322" s="5" t="inlineStr"/>
      <c r="C322" s="6" t="inlineStr">
        <is>
          <t>TJB10 - 30 in</t>
        </is>
      </c>
      <c r="D322" s="5" t="inlineStr">
        <is>
          <t>EA</t>
        </is>
      </c>
      <c r="E322" s="7" t="n">
        <v>1</v>
      </c>
      <c r="F322" s="8" t="inlineStr"/>
      <c r="G322" s="8" t="inlineStr"/>
      <c r="H322" s="9" t="n">
        <v>95</v>
      </c>
      <c r="I322" s="11" t="inlineStr">
        <is>
          <t>Engineer Review</t>
        </is>
      </c>
      <c r="J322" s="8" t="inlineStr">
        <is>
          <t>Sheet L7, Proposed Traffic Signal/Fiber Locations table: TJB10 - 30 in, Sta. 83+05.86; 64.8 ft R</t>
        </is>
      </c>
      <c r="K322" s="8" t="inlineStr">
        <is>
          <t>One table row counted as one proposed traffic junction box.</t>
        </is>
      </c>
    </row>
    <row r="323">
      <c r="A323" s="5" t="n">
        <v>310</v>
      </c>
      <c r="B323" s="5" t="inlineStr"/>
      <c r="C323" s="6" t="inlineStr">
        <is>
          <t>TJB11 - 12 in</t>
        </is>
      </c>
      <c r="D323" s="5" t="inlineStr">
        <is>
          <t>EA</t>
        </is>
      </c>
      <c r="E323" s="7" t="n">
        <v>1</v>
      </c>
      <c r="F323" s="8" t="inlineStr"/>
      <c r="G323" s="8" t="inlineStr"/>
      <c r="H323" s="9" t="n">
        <v>95</v>
      </c>
      <c r="I323" s="11" t="inlineStr">
        <is>
          <t>Engineer Review</t>
        </is>
      </c>
      <c r="J323" s="8" t="inlineStr">
        <is>
          <t>Sheet L7, Proposed Traffic Signal/Fiber Locations table: TJB11 - 12 in, Sta. 82+99.10; 54.1 ft L</t>
        </is>
      </c>
      <c r="K323" s="8" t="inlineStr">
        <is>
          <t>One table row counted as one proposed traffic junction box.</t>
        </is>
      </c>
    </row>
    <row r="324">
      <c r="A324" s="5" t="n">
        <v>311</v>
      </c>
      <c r="B324" s="5" t="inlineStr"/>
      <c r="C324" s="6" t="inlineStr">
        <is>
          <t>TJB12 - 24 in</t>
        </is>
      </c>
      <c r="D324" s="5" t="inlineStr">
        <is>
          <t>EA</t>
        </is>
      </c>
      <c r="E324" s="7" t="n">
        <v>1</v>
      </c>
      <c r="F324" s="8" t="inlineStr"/>
      <c r="G324" s="8" t="inlineStr"/>
      <c r="H324" s="9" t="n">
        <v>95</v>
      </c>
      <c r="I324" s="11" t="inlineStr">
        <is>
          <t>Engineer Review</t>
        </is>
      </c>
      <c r="J324" s="8" t="inlineStr">
        <is>
          <t>Sheet L7, Proposed Traffic Signal/Fiber Locations table: TJB12 - 24 in, Sta. 83+11.03; 64.0 ft L</t>
        </is>
      </c>
      <c r="K324" s="8" t="inlineStr">
        <is>
          <t>One table row counted as one proposed traffic junction box.</t>
        </is>
      </c>
    </row>
    <row r="325">
      <c r="A325" s="5" t="n">
        <v>312</v>
      </c>
      <c r="B325" s="5" t="inlineStr"/>
      <c r="C325" s="6" t="inlineStr">
        <is>
          <t>TJB13 - 12 in</t>
        </is>
      </c>
      <c r="D325" s="5" t="inlineStr">
        <is>
          <t>EA</t>
        </is>
      </c>
      <c r="E325" s="7" t="n">
        <v>1</v>
      </c>
      <c r="F325" s="8" t="inlineStr"/>
      <c r="G325" s="8" t="inlineStr"/>
      <c r="H325" s="9" t="n">
        <v>95</v>
      </c>
      <c r="I325" s="11" t="inlineStr">
        <is>
          <t>Engineer Review</t>
        </is>
      </c>
      <c r="J325" s="8" t="inlineStr">
        <is>
          <t>Sheet L7, Proposed Traffic Signal/Fiber Locations table: TJB13 - 12 in, Sta. 83+72.61; 67.1 ft L</t>
        </is>
      </c>
      <c r="K325" s="8" t="inlineStr">
        <is>
          <t>One table row counted as one proposed traffic junction box.</t>
        </is>
      </c>
    </row>
    <row r="326">
      <c r="A326" s="5" t="n">
        <v>313</v>
      </c>
      <c r="B326" s="5" t="inlineStr"/>
      <c r="C326" s="6" t="inlineStr">
        <is>
          <t>TJB14 - 24 in</t>
        </is>
      </c>
      <c r="D326" s="5" t="inlineStr">
        <is>
          <t>EA</t>
        </is>
      </c>
      <c r="E326" s="7" t="n">
        <v>1</v>
      </c>
      <c r="F326" s="8" t="inlineStr"/>
      <c r="G326" s="8" t="inlineStr"/>
      <c r="H326" s="9" t="n">
        <v>95</v>
      </c>
      <c r="I326" s="11" t="inlineStr">
        <is>
          <t>Engineer Review</t>
        </is>
      </c>
      <c r="J326" s="8" t="inlineStr">
        <is>
          <t>Sheet L7, Proposed Traffic Signal/Fiber Locations table: TJB14 - 24 in, Sta. 83+78.71; 64.3 ft L</t>
        </is>
      </c>
      <c r="K326" s="8" t="inlineStr">
        <is>
          <t>One table row counted as one proposed traffic junction box.</t>
        </is>
      </c>
    </row>
    <row r="327">
      <c r="A327" s="5" t="n">
        <v>314</v>
      </c>
      <c r="B327" s="5" t="inlineStr"/>
      <c r="C327" s="6" t="inlineStr">
        <is>
          <t>TJB15 - 12 in</t>
        </is>
      </c>
      <c r="D327" s="5" t="inlineStr">
        <is>
          <t>EA</t>
        </is>
      </c>
      <c r="E327" s="7" t="n">
        <v>1</v>
      </c>
      <c r="F327" s="8" t="inlineStr"/>
      <c r="G327" s="8" t="inlineStr"/>
      <c r="H327" s="9" t="n">
        <v>95</v>
      </c>
      <c r="I327" s="11" t="inlineStr">
        <is>
          <t>Engineer Review</t>
        </is>
      </c>
      <c r="J327" s="8" t="inlineStr">
        <is>
          <t>Sheet L7, Proposed Traffic Signal/Fiber Locations table: TJB15 - 12 in, Sta. 83+85.11; 54.3 ft R</t>
        </is>
      </c>
      <c r="K327" s="8" t="inlineStr">
        <is>
          <t>One table row counted as one proposed traffic junction box.</t>
        </is>
      </c>
    </row>
    <row r="328">
      <c r="A328" s="5" t="n">
        <v>315</v>
      </c>
      <c r="B328" s="5" t="inlineStr"/>
      <c r="C328" s="6" t="inlineStr">
        <is>
          <t>TJB16 - 30 in</t>
        </is>
      </c>
      <c r="D328" s="5" t="inlineStr">
        <is>
          <t>EA</t>
        </is>
      </c>
      <c r="E328" s="7" t="n">
        <v>1</v>
      </c>
      <c r="F328" s="8" t="inlineStr"/>
      <c r="G328" s="8" t="inlineStr"/>
      <c r="H328" s="9" t="n">
        <v>95</v>
      </c>
      <c r="I328" s="11" t="inlineStr">
        <is>
          <t>Engineer Review</t>
        </is>
      </c>
      <c r="J328" s="8" t="inlineStr">
        <is>
          <t>Sheet L7, Proposed Traffic Signal/Fiber Locations table: TJB16 - 30 in, Sta. 83+79.30; 60.7 ft R</t>
        </is>
      </c>
      <c r="K328" s="8" t="inlineStr">
        <is>
          <t>One table row counted as one proposed traffic junction box.</t>
        </is>
      </c>
    </row>
    <row r="329">
      <c r="A329" s="5" t="n">
        <v>316</v>
      </c>
      <c r="B329" s="5" t="inlineStr"/>
      <c r="C329" s="6" t="inlineStr">
        <is>
          <t>TJB17 - 12 in</t>
        </is>
      </c>
      <c r="D329" s="5" t="inlineStr">
        <is>
          <t>EA</t>
        </is>
      </c>
      <c r="E329" s="7" t="n">
        <v>1</v>
      </c>
      <c r="F329" s="8" t="inlineStr"/>
      <c r="G329" s="8" t="inlineStr"/>
      <c r="H329" s="9" t="n">
        <v>95</v>
      </c>
      <c r="I329" s="11" t="inlineStr">
        <is>
          <t>Engineer Review</t>
        </is>
      </c>
      <c r="J329" s="8" t="inlineStr">
        <is>
          <t>Sheet L9, Proposed Traffic Signal/Fiber Locations table: TJB17 - 12 in, Sta. 90+87.05; 54.8 ft L</t>
        </is>
      </c>
      <c r="K329" s="8" t="inlineStr">
        <is>
          <t>One table row counted as one proposed traffic junction box.</t>
        </is>
      </c>
    </row>
    <row r="330">
      <c r="A330" s="5" t="n">
        <v>317</v>
      </c>
      <c r="B330" s="5" t="inlineStr"/>
      <c r="C330" s="6" t="inlineStr">
        <is>
          <t>TJB18 - 30 in</t>
        </is>
      </c>
      <c r="D330" s="5" t="inlineStr">
        <is>
          <t>EA</t>
        </is>
      </c>
      <c r="E330" s="7" t="n">
        <v>1</v>
      </c>
      <c r="F330" s="8" t="inlineStr"/>
      <c r="G330" s="8" t="inlineStr"/>
      <c r="H330" s="9" t="n">
        <v>95</v>
      </c>
      <c r="I330" s="11" t="inlineStr">
        <is>
          <t>Engineer Review</t>
        </is>
      </c>
      <c r="J330" s="8" t="inlineStr">
        <is>
          <t>Sheet L9, Proposed Traffic Signal/Fiber Locations table: TJB18 - 30 in, Sta. 90+98.70; 64.2 ft L</t>
        </is>
      </c>
      <c r="K330" s="8" t="inlineStr">
        <is>
          <t>One table row counted as one proposed traffic junction box.</t>
        </is>
      </c>
    </row>
    <row r="331">
      <c r="A331" s="5" t="n">
        <v>318</v>
      </c>
      <c r="B331" s="5" t="inlineStr"/>
      <c r="C331" s="6" t="inlineStr">
        <is>
          <t>TJB19 - 12 in</t>
        </is>
      </c>
      <c r="D331" s="5" t="inlineStr">
        <is>
          <t>EA</t>
        </is>
      </c>
      <c r="E331" s="7" t="n">
        <v>1</v>
      </c>
      <c r="F331" s="8" t="inlineStr"/>
      <c r="G331" s="8" t="inlineStr"/>
      <c r="H331" s="9" t="n">
        <v>95</v>
      </c>
      <c r="I331" s="11" t="inlineStr">
        <is>
          <t>Engineer Review</t>
        </is>
      </c>
      <c r="J331" s="8" t="inlineStr">
        <is>
          <t>Sheet L9, Proposed Traffic Signal/Fiber Locations table: TJB19 - 12 in, Sta. 91+58.84; 66.9 ft L</t>
        </is>
      </c>
      <c r="K331" s="8" t="inlineStr">
        <is>
          <t>One table row counted as one proposed traffic junction box.</t>
        </is>
      </c>
    </row>
    <row r="332">
      <c r="A332" s="5" t="n">
        <v>319</v>
      </c>
      <c r="B332" s="5" t="inlineStr"/>
      <c r="C332" s="6" t="inlineStr">
        <is>
          <t>TJB20 - 30 in</t>
        </is>
      </c>
      <c r="D332" s="5" t="inlineStr">
        <is>
          <t>EA</t>
        </is>
      </c>
      <c r="E332" s="7" t="n">
        <v>1</v>
      </c>
      <c r="F332" s="8" t="inlineStr"/>
      <c r="G332" s="8" t="inlineStr"/>
      <c r="H332" s="9" t="n">
        <v>95</v>
      </c>
      <c r="I332" s="11" t="inlineStr">
        <is>
          <t>Engineer Review</t>
        </is>
      </c>
      <c r="J332" s="8" t="inlineStr">
        <is>
          <t>Sheet L9, Proposed Traffic Signal/Fiber Locations table: TJB20 - 30 in, Sta. 91+64.75; 64.2 ft L</t>
        </is>
      </c>
      <c r="K332" s="8" t="inlineStr">
        <is>
          <t>One table row counted as one proposed traffic junction box.</t>
        </is>
      </c>
    </row>
    <row r="333">
      <c r="A333" s="5" t="n">
        <v>320</v>
      </c>
      <c r="B333" s="5" t="inlineStr"/>
      <c r="C333" s="6" t="inlineStr">
        <is>
          <t>TJB21 - 12 in</t>
        </is>
      </c>
      <c r="D333" s="5" t="inlineStr">
        <is>
          <t>EA</t>
        </is>
      </c>
      <c r="E333" s="7" t="n">
        <v>1</v>
      </c>
      <c r="F333" s="8" t="inlineStr"/>
      <c r="G333" s="8" t="inlineStr"/>
      <c r="H333" s="9" t="n">
        <v>95</v>
      </c>
      <c r="I333" s="11" t="inlineStr">
        <is>
          <t>Engineer Review</t>
        </is>
      </c>
      <c r="J333" s="8" t="inlineStr">
        <is>
          <t>Sheet L11, Proposed Traffic Signal/Fiber Locations table: TJB21 - 12 in, Sta. 98+31.66; 71.2 ft L</t>
        </is>
      </c>
      <c r="K333" s="8" t="inlineStr">
        <is>
          <t>One table row counted as one proposed traffic junction box.</t>
        </is>
      </c>
    </row>
    <row r="334">
      <c r="A334" s="5" t="n">
        <v>321</v>
      </c>
      <c r="B334" s="5" t="inlineStr"/>
      <c r="C334" s="6" t="inlineStr">
        <is>
          <t>TJB22 - 30 in</t>
        </is>
      </c>
      <c r="D334" s="5" t="inlineStr">
        <is>
          <t>EA</t>
        </is>
      </c>
      <c r="E334" s="7" t="n">
        <v>1</v>
      </c>
      <c r="F334" s="8" t="inlineStr"/>
      <c r="G334" s="8" t="inlineStr"/>
      <c r="H334" s="9" t="n">
        <v>95</v>
      </c>
      <c r="I334" s="11" t="inlineStr">
        <is>
          <t>Engineer Review</t>
        </is>
      </c>
      <c r="J334" s="8" t="inlineStr">
        <is>
          <t>Sheet L11, Proposed Traffic Signal/Fiber Locations table: TJB22 - 30 in, Sta. 98+42.63; 81.7 ft L</t>
        </is>
      </c>
      <c r="K334" s="8" t="inlineStr">
        <is>
          <t>One table row counted as one proposed traffic junction box.</t>
        </is>
      </c>
    </row>
    <row r="335">
      <c r="A335" s="5" t="n">
        <v>322</v>
      </c>
      <c r="B335" s="5" t="inlineStr"/>
      <c r="C335" s="6" t="inlineStr">
        <is>
          <t>TJB23 - 12 in</t>
        </is>
      </c>
      <c r="D335" s="5" t="inlineStr">
        <is>
          <t>EA</t>
        </is>
      </c>
      <c r="E335" s="7" t="n">
        <v>1</v>
      </c>
      <c r="F335" s="8" t="inlineStr"/>
      <c r="G335" s="8" t="inlineStr"/>
      <c r="H335" s="9" t="n">
        <v>95</v>
      </c>
      <c r="I335" s="11" t="inlineStr">
        <is>
          <t>Engineer Review</t>
        </is>
      </c>
      <c r="J335" s="8" t="inlineStr">
        <is>
          <t>Sheet L11, Proposed Traffic Signal/Fiber Locations table: TJB23 - 12 in, Sta. 99+02.93; 86.5 ft L</t>
        </is>
      </c>
      <c r="K335" s="8" t="inlineStr">
        <is>
          <t>One table row counted as one proposed traffic junction box.</t>
        </is>
      </c>
    </row>
    <row r="336">
      <c r="A336" s="5" t="n">
        <v>323</v>
      </c>
      <c r="B336" s="5" t="inlineStr"/>
      <c r="C336" s="6" t="inlineStr">
        <is>
          <t>TJB24 - 30 in</t>
        </is>
      </c>
      <c r="D336" s="5" t="inlineStr">
        <is>
          <t>EA</t>
        </is>
      </c>
      <c r="E336" s="7" t="n">
        <v>1</v>
      </c>
      <c r="F336" s="8" t="inlineStr"/>
      <c r="G336" s="8" t="inlineStr"/>
      <c r="H336" s="9" t="n">
        <v>95</v>
      </c>
      <c r="I336" s="11" t="inlineStr">
        <is>
          <t>Engineer Review</t>
        </is>
      </c>
      <c r="J336" s="8" t="inlineStr">
        <is>
          <t>Sheet L11, Proposed Traffic Signal/Fiber Locations table: TJB24 - 30 in, Sta. 99+09.66; 82.9 ft L</t>
        </is>
      </c>
      <c r="K336" s="8" t="inlineStr">
        <is>
          <t>One table row counted as one proposed traffic junction box.</t>
        </is>
      </c>
    </row>
    <row r="337">
      <c r="A337" s="3" t="inlineStr">
        <is>
          <t>Lighting &amp; Electrical</t>
        </is>
      </c>
      <c r="B337" s="4" t="n"/>
      <c r="C337" s="4" t="n"/>
      <c r="D337" s="4" t="n"/>
      <c r="E337" s="4" t="n"/>
      <c r="F337" s="4" t="n"/>
      <c r="G337" s="4" t="n"/>
      <c r="H337" s="4" t="n"/>
      <c r="I337" s="4" t="n"/>
      <c r="J337" s="4" t="n"/>
      <c r="K337" s="4" t="n"/>
    </row>
    <row r="338">
      <c r="A338" s="5" t="n">
        <v>324</v>
      </c>
      <c r="B338" s="5" t="inlineStr"/>
      <c r="C338" s="6" t="inlineStr">
        <is>
          <t>FPB1 through FPB6 - Proposed Fiber Pull Boxes</t>
        </is>
      </c>
      <c r="D338" s="5" t="inlineStr">
        <is>
          <t>EA</t>
        </is>
      </c>
      <c r="E338" s="7" t="n">
        <v>6</v>
      </c>
      <c r="F338" s="8" t="inlineStr"/>
      <c r="G338" s="8" t="inlineStr"/>
      <c r="H338" s="9" t="n">
        <v>80</v>
      </c>
      <c r="I338" s="11" t="inlineStr">
        <is>
          <t>Engineer Review</t>
        </is>
      </c>
      <c r="J338" s="8" t="inlineStr">
        <is>
          <t>Sheet L5 Signal Conduit Layout; visible labeled FPB1-FPB6 locations</t>
        </is>
      </c>
      <c r="K338" s="8" t="inlineStr">
        <is>
          <t>Counted six unique labeled proposed fiber pull box locations: FPB1 through FPB6.</t>
        </is>
      </c>
    </row>
    <row r="339">
      <c r="A339" s="5" t="n">
        <v>325</v>
      </c>
      <c r="B339" s="5" t="inlineStr"/>
      <c r="C339" s="6" t="inlineStr">
        <is>
          <t>FPB9 through FPB16 - Proposed Fiber Pull Boxes</t>
        </is>
      </c>
      <c r="D339" s="5" t="inlineStr">
        <is>
          <t>EA</t>
        </is>
      </c>
      <c r="E339" s="7" t="n">
        <v>8</v>
      </c>
      <c r="F339" s="8" t="inlineStr"/>
      <c r="G339" s="8" t="inlineStr"/>
      <c r="H339" s="9" t="n">
        <v>90</v>
      </c>
      <c r="I339" s="11" t="inlineStr">
        <is>
          <t>Engineer Review</t>
        </is>
      </c>
      <c r="J339" s="8" t="inlineStr">
        <is>
          <t>Sheet L7, right side of Proposed Traffic Signal/Fiber Locations table: FPB9-FPB16; note 'See Grading / Surfacing Sections for Ped Pole Locations'</t>
        </is>
      </c>
      <c r="K339" s="8" t="inlineStr">
        <is>
          <t>Eight listed proposed fiber pull boxes, FPB9 through FPB16; 8 IDs x 1 Each.</t>
        </is>
      </c>
    </row>
    <row r="340">
      <c r="A340" s="5" t="n">
        <v>326</v>
      </c>
      <c r="B340" s="5" t="inlineStr"/>
      <c r="C340" s="6" t="inlineStr">
        <is>
          <t>FPB17 through FPB20 - Proposed Fiber Pull Boxes</t>
        </is>
      </c>
      <c r="D340" s="5" t="inlineStr">
        <is>
          <t>EA</t>
        </is>
      </c>
      <c r="E340" s="7" t="n">
        <v>4</v>
      </c>
      <c r="F340" s="8" t="inlineStr"/>
      <c r="G340" s="8" t="inlineStr"/>
      <c r="H340" s="9" t="n">
        <v>90</v>
      </c>
      <c r="I340" s="11" t="inlineStr">
        <is>
          <t>Engineer Review</t>
        </is>
      </c>
      <c r="J340" s="8" t="inlineStr">
        <is>
          <t>Sheet L9, right side of Proposed Traffic Signal/Fiber Locations table: FPB17-FPB20; note 'See Grading / Surfacing Sections for Ped Pole Locations'</t>
        </is>
      </c>
      <c r="K340" s="8" t="inlineStr">
        <is>
          <t>Four listed proposed fiber pull boxes, FPB17 through FPB20; 4 IDs x 1 Each.</t>
        </is>
      </c>
    </row>
    <row r="341">
      <c r="A341" s="5" t="n">
        <v>327</v>
      </c>
      <c r="B341" s="5" t="inlineStr"/>
      <c r="C341" s="6" t="inlineStr">
        <is>
          <t>FPB21 through FPB24 - Proposed Fiber Pull Boxes</t>
        </is>
      </c>
      <c r="D341" s="5" t="inlineStr">
        <is>
          <t>EA</t>
        </is>
      </c>
      <c r="E341" s="7" t="n">
        <v>4</v>
      </c>
      <c r="F341" s="8" t="inlineStr"/>
      <c r="G341" s="8" t="inlineStr"/>
      <c r="H341" s="9" t="n">
        <v>90</v>
      </c>
      <c r="I341" s="11" t="inlineStr">
        <is>
          <t>Engineer Review</t>
        </is>
      </c>
      <c r="J341" s="8" t="inlineStr">
        <is>
          <t>Sheet L11, right side of Proposed Traffic Signal/Fiber Locations table: FPB21-FPB24; note 'See Grading / Surfacing Sections for Ped Pole Locations'</t>
        </is>
      </c>
      <c r="K341" s="8" t="inlineStr">
        <is>
          <t>Four listed proposed fiber pull boxes, FPB21 through FPB24; 4 IDs x 1 Each.</t>
        </is>
      </c>
    </row>
    <row r="342">
      <c r="A342" s="5" t="n">
        <v>328</v>
      </c>
      <c r="B342" s="5" t="inlineStr"/>
      <c r="C342" s="6" t="inlineStr">
        <is>
          <t>2-inch Schedule 40 Conduit</t>
        </is>
      </c>
      <c r="D342" s="5" t="inlineStr">
        <is>
          <t>LF</t>
        </is>
      </c>
      <c r="E342" s="7" t="n">
        <v>3090</v>
      </c>
      <c r="F342" s="8" t="inlineStr"/>
      <c r="G342" s="8" t="inlineStr"/>
      <c r="H342" s="9" t="n">
        <v>98</v>
      </c>
      <c r="I342" s="10" t="inlineStr">
        <is>
          <t>Verified</t>
        </is>
      </c>
      <c r="J342" s="8" t="inlineStr">
        <is>
          <t>Sheet L14, Table for Conduit and Cable, Sch 40 2-inch conduit total</t>
        </is>
      </c>
      <c r="K342" s="8" t="inlineStr">
        <is>
          <t>Extracted from Table for Conduit and Cable total: 3,090 Ft.</t>
        </is>
      </c>
    </row>
    <row r="343">
      <c r="A343" s="5" t="n">
        <v>329</v>
      </c>
      <c r="B343" s="5" t="inlineStr"/>
      <c r="C343" s="6" t="inlineStr">
        <is>
          <t>2-inch Schedule 80 Conduit</t>
        </is>
      </c>
      <c r="D343" s="5" t="inlineStr">
        <is>
          <t>LF</t>
        </is>
      </c>
      <c r="E343" s="7" t="n">
        <v>2505</v>
      </c>
      <c r="F343" s="8" t="inlineStr"/>
      <c r="G343" s="8" t="inlineStr"/>
      <c r="H343" s="9" t="n">
        <v>98</v>
      </c>
      <c r="I343" s="10" t="inlineStr">
        <is>
          <t>Verified</t>
        </is>
      </c>
      <c r="J343" s="8" t="inlineStr">
        <is>
          <t>Sheet L14, Table for Conduit and Cable, Sch 80 2-inch conduit total</t>
        </is>
      </c>
      <c r="K343" s="8" t="inlineStr">
        <is>
          <t>Extracted from Table for Conduit and Cable total: 2,505 Ft.</t>
        </is>
      </c>
    </row>
    <row r="344">
      <c r="A344" s="5" t="n">
        <v>330</v>
      </c>
      <c r="B344" s="5" t="inlineStr"/>
      <c r="C344" s="6" t="inlineStr">
        <is>
          <t>1/C #14 AWG Copper Tracer Wire</t>
        </is>
      </c>
      <c r="D344" s="5" t="inlineStr">
        <is>
          <t>LF</t>
        </is>
      </c>
      <c r="E344" s="7" t="n">
        <v>5890</v>
      </c>
      <c r="F344" s="8" t="inlineStr"/>
      <c r="G344" s="8" t="inlineStr"/>
      <c r="H344" s="9" t="n">
        <v>98</v>
      </c>
      <c r="I344" s="10" t="inlineStr">
        <is>
          <t>Verified</t>
        </is>
      </c>
      <c r="J344" s="8" t="inlineStr">
        <is>
          <t>Sheet L14, Table for Conduit and Cable, Wire 1/C #14 total; General Note states #14 AWG tracer wire shall be installed in lighting conduit not carrying wire</t>
        </is>
      </c>
      <c r="K344" s="8" t="inlineStr">
        <is>
          <t>Extracted from Table for Conduit and Cable total: 5,890 Ft.</t>
        </is>
      </c>
    </row>
    <row r="345">
      <c r="A345" s="5" t="n">
        <v>331</v>
      </c>
      <c r="B345" s="5" t="inlineStr"/>
      <c r="C345" s="6" t="inlineStr">
        <is>
          <t>Power Feed - Elevated Transformer to Double Meter Pedestal</t>
        </is>
      </c>
      <c r="D345" s="5" t="inlineStr">
        <is>
          <t>EA</t>
        </is>
      </c>
      <c r="E345" s="7" t="n">
        <v>2</v>
      </c>
      <c r="F345" s="8" t="inlineStr"/>
      <c r="G345" s="8" t="inlineStr"/>
      <c r="H345" s="9" t="n">
        <v>98</v>
      </c>
      <c r="I345" s="10" t="inlineStr">
        <is>
          <t>Verified</t>
        </is>
      </c>
      <c r="J345" s="8" t="inlineStr">
        <is>
          <t>Sheet L14, Power Feed - Elevated Transformer to Double Meter Pedestal table total</t>
        </is>
      </c>
      <c r="K345" s="8" t="inlineStr">
        <is>
          <t>Extracted from quantity table total: 2 Each.</t>
        </is>
      </c>
    </row>
    <row r="346">
      <c r="A346" s="5" t="n">
        <v>332</v>
      </c>
      <c r="B346" s="5" t="inlineStr"/>
      <c r="C346" s="6" t="inlineStr">
        <is>
          <t>Tie to Existing Conduit</t>
        </is>
      </c>
      <c r="D346" s="5" t="inlineStr">
        <is>
          <t>EA</t>
        </is>
      </c>
      <c r="E346" s="7" t="n">
        <v>1</v>
      </c>
      <c r="F346" s="8" t="inlineStr"/>
      <c r="G346" s="8" t="inlineStr"/>
      <c r="H346" s="9" t="n">
        <v>98</v>
      </c>
      <c r="I346" s="10" t="inlineStr">
        <is>
          <t>Verified</t>
        </is>
      </c>
      <c r="J346" s="8" t="inlineStr">
        <is>
          <t>Sheet L14, Table for Tie to Existing Conduit; location 66+49.40 - 6.00 RT</t>
        </is>
      </c>
      <c r="K346" s="8" t="inlineStr">
        <is>
          <t>Extracted from quantity table total: 1 Each.</t>
        </is>
      </c>
    </row>
    <row r="347">
      <c r="A347" s="5" t="n">
        <v>333</v>
      </c>
      <c r="B347" s="5" t="inlineStr"/>
      <c r="C347" s="6" t="inlineStr">
        <is>
          <t>Tie to Existing Luminaire Pole Base</t>
        </is>
      </c>
      <c r="D347" s="5" t="inlineStr">
        <is>
          <t>EA</t>
        </is>
      </c>
      <c r="E347" s="7" t="n">
        <v>1</v>
      </c>
      <c r="F347" s="8" t="inlineStr"/>
      <c r="G347" s="8" t="inlineStr"/>
      <c r="H347" s="9" t="n">
        <v>98</v>
      </c>
      <c r="I347" s="10" t="inlineStr">
        <is>
          <t>Verified</t>
        </is>
      </c>
      <c r="J347" s="8" t="inlineStr">
        <is>
          <t>Sheet L14, Table for Tie to Existing Luminaire Pole Base; location 74+49.03 - 73.97 LT</t>
        </is>
      </c>
      <c r="K347" s="8" t="inlineStr">
        <is>
          <t>Extracted from quantity table total: 1 Each.</t>
        </is>
      </c>
    </row>
    <row r="348">
      <c r="A348" s="5" t="n">
        <v>334</v>
      </c>
      <c r="B348" s="5" t="inlineStr"/>
      <c r="C348" s="6" t="inlineStr">
        <is>
          <t>Locator Ball</t>
        </is>
      </c>
      <c r="D348" s="5" t="inlineStr">
        <is>
          <t>EA</t>
        </is>
      </c>
      <c r="E348" s="7" t="n">
        <v>4</v>
      </c>
      <c r="F348" s="8" t="inlineStr"/>
      <c r="G348" s="8" t="inlineStr"/>
      <c r="H348" s="9" t="n">
        <v>98</v>
      </c>
      <c r="I348" s="10" t="inlineStr">
        <is>
          <t>Verified</t>
        </is>
      </c>
      <c r="J348" s="8" t="inlineStr">
        <is>
          <t>Sheet L14, Table for Locator Ball total</t>
        </is>
      </c>
      <c r="K348" s="8" t="inlineStr">
        <is>
          <t>Extracted from quantity table total: 4 Each.</t>
        </is>
      </c>
    </row>
    <row r="349">
      <c r="A349" s="3" t="inlineStr">
        <is>
          <t>Gas &amp; Dry Utilities</t>
        </is>
      </c>
      <c r="B349" s="4" t="n"/>
      <c r="C349" s="4" t="n"/>
      <c r="D349" s="4" t="n"/>
      <c r="E349" s="4" t="n"/>
      <c r="F349" s="4" t="n"/>
      <c r="G349" s="4" t="n"/>
      <c r="H349" s="4" t="n"/>
      <c r="I349" s="4" t="n"/>
      <c r="J349" s="4" t="n"/>
      <c r="K349" s="4" t="n"/>
    </row>
    <row r="350">
      <c r="A350" s="5" t="n">
        <v>335</v>
      </c>
      <c r="B350" s="5" t="inlineStr"/>
      <c r="C350" s="6" t="inlineStr">
        <is>
          <t>FJB6 - 24 in</t>
        </is>
      </c>
      <c r="D350" s="5" t="inlineStr">
        <is>
          <t>EA</t>
        </is>
      </c>
      <c r="E350" s="7" t="n">
        <v>1</v>
      </c>
      <c r="F350" s="8" t="inlineStr"/>
      <c r="G350" s="8" t="inlineStr"/>
      <c r="H350" s="9" t="n">
        <v>95</v>
      </c>
      <c r="I350" s="11" t="inlineStr">
        <is>
          <t>Engineer Review</t>
        </is>
      </c>
      <c r="J350" s="8" t="inlineStr">
        <is>
          <t>Sheet L6, Proposed Traffic Signal/Fiber Locations table: FJB6 - 24 in, Sta. 78+99.98; 41.1 ft R</t>
        </is>
      </c>
      <c r="K350" s="8" t="inlineStr">
        <is>
          <t>One table row counted as one proposed fiber junction/pull box.</t>
        </is>
      </c>
    </row>
    <row r="351">
      <c r="A351" s="5" t="n">
        <v>336</v>
      </c>
      <c r="B351" s="5" t="inlineStr"/>
      <c r="C351" s="6" t="inlineStr">
        <is>
          <t>FJB7 - 30 in</t>
        </is>
      </c>
      <c r="D351" s="5" t="inlineStr">
        <is>
          <t>EA</t>
        </is>
      </c>
      <c r="E351" s="7" t="n">
        <v>1</v>
      </c>
      <c r="F351" s="8" t="inlineStr"/>
      <c r="G351" s="8" t="inlineStr"/>
      <c r="H351" s="9" t="n">
        <v>95</v>
      </c>
      <c r="I351" s="11" t="inlineStr">
        <is>
          <t>Engineer Review</t>
        </is>
      </c>
      <c r="J351" s="8" t="inlineStr">
        <is>
          <t>Sheet L7, Proposed Traffic Signal/Fiber Locations table: FJB7 - 30 in, Sta. 83+03.57; 62.4 ft R</t>
        </is>
      </c>
      <c r="K351" s="8" t="inlineStr">
        <is>
          <t>One table row counted as one proposed fiber junction/pull box.</t>
        </is>
      </c>
    </row>
    <row r="352">
      <c r="A352" s="5" t="n">
        <v>337</v>
      </c>
      <c r="B352" s="5" t="inlineStr"/>
      <c r="C352" s="6" t="inlineStr">
        <is>
          <t>FJB8 - 24 in</t>
        </is>
      </c>
      <c r="D352" s="5" t="inlineStr">
        <is>
          <t>EA</t>
        </is>
      </c>
      <c r="E352" s="7" t="n">
        <v>1</v>
      </c>
      <c r="F352" s="8" t="inlineStr"/>
      <c r="G352" s="8" t="inlineStr"/>
      <c r="H352" s="9" t="n">
        <v>95</v>
      </c>
      <c r="I352" s="11" t="inlineStr">
        <is>
          <t>Engineer Review</t>
        </is>
      </c>
      <c r="J352" s="8" t="inlineStr">
        <is>
          <t>Sheet L7, Proposed Traffic Signal/Fiber Locations table: FJB8 - 24 in, Sta. 83+13.67; 48.7 ft L</t>
        </is>
      </c>
      <c r="K352" s="8" t="inlineStr">
        <is>
          <t>One table row counted as one proposed fiber junction/pull box.</t>
        </is>
      </c>
    </row>
    <row r="353">
      <c r="A353" s="5" t="n">
        <v>338</v>
      </c>
      <c r="B353" s="5" t="inlineStr"/>
      <c r="C353" s="6" t="inlineStr">
        <is>
          <t>FJB9 - 24 in</t>
        </is>
      </c>
      <c r="D353" s="5" t="inlineStr">
        <is>
          <t>EA</t>
        </is>
      </c>
      <c r="E353" s="7" t="n">
        <v>1</v>
      </c>
      <c r="F353" s="8" t="inlineStr"/>
      <c r="G353" s="8" t="inlineStr"/>
      <c r="H353" s="9" t="n">
        <v>95</v>
      </c>
      <c r="I353" s="11" t="inlineStr">
        <is>
          <t>Engineer Review</t>
        </is>
      </c>
      <c r="J353" s="8" t="inlineStr">
        <is>
          <t>Sheet L7, Proposed Traffic Signal/Fiber Locations table: FJB9 - 24 in, Sta. 83+76.52; 69.5 ft L</t>
        </is>
      </c>
      <c r="K353" s="8" t="inlineStr">
        <is>
          <t>One table row counted as one proposed fiber junction/pull box.</t>
        </is>
      </c>
    </row>
    <row r="354">
      <c r="A354" s="5" t="n">
        <v>339</v>
      </c>
      <c r="B354" s="5" t="inlineStr"/>
      <c r="C354" s="6" t="inlineStr">
        <is>
          <t>FJB10 - 30 in</t>
        </is>
      </c>
      <c r="D354" s="5" t="inlineStr">
        <is>
          <t>EA</t>
        </is>
      </c>
      <c r="E354" s="7" t="n">
        <v>1</v>
      </c>
      <c r="F354" s="8" t="inlineStr"/>
      <c r="G354" s="8" t="inlineStr"/>
      <c r="H354" s="9" t="n">
        <v>95</v>
      </c>
      <c r="I354" s="11" t="inlineStr">
        <is>
          <t>Engineer Review</t>
        </is>
      </c>
      <c r="J354" s="8" t="inlineStr">
        <is>
          <t>Sheet L7, Proposed Traffic Signal/Fiber Locations table: FJB10 - 30 in, Sta. 83+72.57; 63.9 ft R</t>
        </is>
      </c>
      <c r="K354" s="8" t="inlineStr">
        <is>
          <t>One table row counted as one proposed fiber junction/pull box.</t>
        </is>
      </c>
    </row>
    <row r="355">
      <c r="A355" s="5" t="n">
        <v>340</v>
      </c>
      <c r="B355" s="5" t="inlineStr"/>
      <c r="C355" s="6" t="inlineStr">
        <is>
          <t>FJB11 - 24 in</t>
        </is>
      </c>
      <c r="D355" s="5" t="inlineStr">
        <is>
          <t>EA</t>
        </is>
      </c>
      <c r="E355" s="7" t="n">
        <v>1</v>
      </c>
      <c r="F355" s="8" t="inlineStr"/>
      <c r="G355" s="8" t="inlineStr"/>
      <c r="H355" s="9" t="n">
        <v>95</v>
      </c>
      <c r="I355" s="11" t="inlineStr">
        <is>
          <t>Engineer Review</t>
        </is>
      </c>
      <c r="J355" s="8" t="inlineStr">
        <is>
          <t>Sheet L9, Proposed Traffic Signal/Fiber Locations table: FJB11 - 24 in, Sta. 87+50.04; 39.4 ft L</t>
        </is>
      </c>
      <c r="K355" s="8" t="inlineStr">
        <is>
          <t>One table row counted as one proposed fiber junction/pull box.</t>
        </is>
      </c>
    </row>
    <row r="356">
      <c r="A356" s="5" t="n">
        <v>341</v>
      </c>
      <c r="B356" s="5" t="inlineStr"/>
      <c r="C356" s="6" t="inlineStr">
        <is>
          <t>FJB12 - 30 in</t>
        </is>
      </c>
      <c r="D356" s="5" t="inlineStr">
        <is>
          <t>EA</t>
        </is>
      </c>
      <c r="E356" s="7" t="n">
        <v>1</v>
      </c>
      <c r="F356" s="8" t="inlineStr"/>
      <c r="G356" s="8" t="inlineStr"/>
      <c r="H356" s="9" t="n">
        <v>95</v>
      </c>
      <c r="I356" s="11" t="inlineStr">
        <is>
          <t>Engineer Review</t>
        </is>
      </c>
      <c r="J356" s="8" t="inlineStr">
        <is>
          <t>Sheet L9, Proposed Traffic Signal/Fiber Locations table: FJB12 - 30 in, Sta. 91+00.92; 66.9 ft L</t>
        </is>
      </c>
      <c r="K356" s="8" t="inlineStr">
        <is>
          <t>One table row counted as one proposed fiber junction/pull box.</t>
        </is>
      </c>
    </row>
    <row r="357">
      <c r="A357" s="5" t="n">
        <v>342</v>
      </c>
      <c r="B357" s="5" t="inlineStr"/>
      <c r="C357" s="6" t="inlineStr">
        <is>
          <t>FJB13 - 30 in</t>
        </is>
      </c>
      <c r="D357" s="5" t="inlineStr">
        <is>
          <t>EA</t>
        </is>
      </c>
      <c r="E357" s="7" t="n">
        <v>1</v>
      </c>
      <c r="F357" s="8" t="inlineStr"/>
      <c r="G357" s="8" t="inlineStr"/>
      <c r="H357" s="9" t="n">
        <v>95</v>
      </c>
      <c r="I357" s="11" t="inlineStr">
        <is>
          <t>Engineer Review</t>
        </is>
      </c>
      <c r="J357" s="8" t="inlineStr">
        <is>
          <t>Sheet L9, Proposed Traffic Signal/Fiber Locations table: FJB13 - 30 in, Sta. 91+61.55; 69.1 ft L</t>
        </is>
      </c>
      <c r="K357" s="8" t="inlineStr">
        <is>
          <t>One table row counted as one proposed fiber junction/pull box.</t>
        </is>
      </c>
    </row>
    <row r="358">
      <c r="A358" s="5" t="n">
        <v>343</v>
      </c>
      <c r="B358" s="5" t="inlineStr"/>
      <c r="C358" s="6" t="inlineStr">
        <is>
          <t>Locator Ball LB1</t>
        </is>
      </c>
      <c r="D358" s="5" t="inlineStr">
        <is>
          <t>EA</t>
        </is>
      </c>
      <c r="E358" s="7" t="n">
        <v>1</v>
      </c>
      <c r="F358" s="8" t="inlineStr"/>
      <c r="G358" s="8" t="inlineStr"/>
      <c r="H358" s="9" t="n">
        <v>95</v>
      </c>
      <c r="I358" s="11" t="inlineStr">
        <is>
          <t>Engineer Review</t>
        </is>
      </c>
      <c r="J358" s="8" t="inlineStr">
        <is>
          <t>Sheet L9, Proposed Traffic Signal/Fiber Locations table: LB1, Sta. 90+93.83; 39.1 ft R, description LOCATOR BALL</t>
        </is>
      </c>
      <c r="K358" s="8" t="inlineStr">
        <is>
          <t>One table row counted as one locator ball.</t>
        </is>
      </c>
    </row>
    <row r="359">
      <c r="A359" s="5" t="n">
        <v>344</v>
      </c>
      <c r="B359" s="5" t="inlineStr"/>
      <c r="C359" s="6" t="inlineStr">
        <is>
          <t>Locator Ball LB2</t>
        </is>
      </c>
      <c r="D359" s="5" t="inlineStr">
        <is>
          <t>EA</t>
        </is>
      </c>
      <c r="E359" s="7" t="n">
        <v>1</v>
      </c>
      <c r="F359" s="8" t="inlineStr"/>
      <c r="G359" s="8" t="inlineStr"/>
      <c r="H359" s="9" t="n">
        <v>95</v>
      </c>
      <c r="I359" s="11" t="inlineStr">
        <is>
          <t>Engineer Review</t>
        </is>
      </c>
      <c r="J359" s="8" t="inlineStr">
        <is>
          <t>Sheet L9, Proposed Traffic Signal/Fiber Locations table: LB2, Sta. 91+73.02; 38.9 ft R, description LOCATOR BALL</t>
        </is>
      </c>
      <c r="K359" s="8" t="inlineStr">
        <is>
          <t>One table row counted as one locator ball.</t>
        </is>
      </c>
    </row>
    <row r="360">
      <c r="A360" s="5" t="n">
        <v>345</v>
      </c>
      <c r="B360" s="5" t="inlineStr"/>
      <c r="C360" s="6" t="inlineStr">
        <is>
          <t>Locator Ball LB3</t>
        </is>
      </c>
      <c r="D360" s="5" t="inlineStr">
        <is>
          <t>EA</t>
        </is>
      </c>
      <c r="E360" s="7" t="n">
        <v>1</v>
      </c>
      <c r="F360" s="8" t="inlineStr"/>
      <c r="G360" s="8" t="inlineStr"/>
      <c r="H360" s="9" t="n">
        <v>95</v>
      </c>
      <c r="I360" s="11" t="inlineStr">
        <is>
          <t>Engineer Review</t>
        </is>
      </c>
      <c r="J360" s="8" t="inlineStr">
        <is>
          <t>Sheet L9, Proposed Traffic Signal/Fiber Locations table: LB3, Sta. 91+75.94; 38.9 ft R, description LOCATOR BALL</t>
        </is>
      </c>
      <c r="K360" s="8" t="inlineStr">
        <is>
          <t>One table row counted as one locator ball.</t>
        </is>
      </c>
    </row>
    <row r="361">
      <c r="A361" s="5" t="n">
        <v>346</v>
      </c>
      <c r="B361" s="5" t="inlineStr"/>
      <c r="C361" s="6" t="inlineStr">
        <is>
          <t>FJB14 - 24 in</t>
        </is>
      </c>
      <c r="D361" s="5" t="inlineStr">
        <is>
          <t>EA</t>
        </is>
      </c>
      <c r="E361" s="7" t="n">
        <v>1</v>
      </c>
      <c r="F361" s="8" t="inlineStr"/>
      <c r="G361" s="8" t="inlineStr"/>
      <c r="H361" s="9" t="n">
        <v>95</v>
      </c>
      <c r="I361" s="11" t="inlineStr">
        <is>
          <t>Engineer Review</t>
        </is>
      </c>
      <c r="J361" s="8" t="inlineStr">
        <is>
          <t>Sheet L11, Proposed Traffic Signal/Fiber Locations table: FJB14 - 24 in, Sta. 95+00.02; 44.9 ft L</t>
        </is>
      </c>
      <c r="K361" s="8" t="inlineStr">
        <is>
          <t>One table row counted as one proposed fiber junction/pull box.</t>
        </is>
      </c>
    </row>
    <row r="362">
      <c r="A362" s="5" t="n">
        <v>347</v>
      </c>
      <c r="B362" s="5" t="inlineStr"/>
      <c r="C362" s="6" t="inlineStr">
        <is>
          <t>FJB15 - 30 in</t>
        </is>
      </c>
      <c r="D362" s="5" t="inlineStr">
        <is>
          <t>EA</t>
        </is>
      </c>
      <c r="E362" s="7" t="n">
        <v>1</v>
      </c>
      <c r="F362" s="8" t="inlineStr"/>
      <c r="G362" s="8" t="inlineStr"/>
      <c r="H362" s="9" t="n">
        <v>95</v>
      </c>
      <c r="I362" s="11" t="inlineStr">
        <is>
          <t>Engineer Review</t>
        </is>
      </c>
      <c r="J362" s="8" t="inlineStr">
        <is>
          <t>Sheet L11, Proposed Traffic Signal/Fiber Locations table: FJB15 - 30 in, Sta. 98+45.10; 84.4 ft L</t>
        </is>
      </c>
      <c r="K362" s="8" t="inlineStr">
        <is>
          <t>One table row counted as one proposed fiber junction/pull box.</t>
        </is>
      </c>
    </row>
    <row r="363">
      <c r="A363" s="5" t="n">
        <v>348</v>
      </c>
      <c r="B363" s="5" t="inlineStr"/>
      <c r="C363" s="6" t="inlineStr">
        <is>
          <t>FJB16 - 30 in</t>
        </is>
      </c>
      <c r="D363" s="5" t="inlineStr">
        <is>
          <t>EA</t>
        </is>
      </c>
      <c r="E363" s="7" t="n">
        <v>1</v>
      </c>
      <c r="F363" s="8" t="inlineStr"/>
      <c r="G363" s="8" t="inlineStr"/>
      <c r="H363" s="9" t="n">
        <v>95</v>
      </c>
      <c r="I363" s="11" t="inlineStr">
        <is>
          <t>Engineer Review</t>
        </is>
      </c>
      <c r="J363" s="8" t="inlineStr">
        <is>
          <t>Sheet L11, Proposed Traffic Signal/Fiber Locations table: FJB16 - 30 in, Sta. 99+06.37; 89.7 ft L</t>
        </is>
      </c>
      <c r="K363" s="8" t="inlineStr">
        <is>
          <t>One table row counted as one proposed fiber junction/pull box.</t>
        </is>
      </c>
    </row>
    <row r="364">
      <c r="A364" s="5" t="n">
        <v>349</v>
      </c>
      <c r="B364" s="5" t="inlineStr"/>
      <c r="C364" s="6" t="inlineStr">
        <is>
          <t>Locator Ball LB4</t>
        </is>
      </c>
      <c r="D364" s="5" t="inlineStr">
        <is>
          <t>EA</t>
        </is>
      </c>
      <c r="E364" s="7" t="n">
        <v>1</v>
      </c>
      <c r="F364" s="8" t="inlineStr"/>
      <c r="G364" s="8" t="inlineStr"/>
      <c r="H364" s="9" t="n">
        <v>95</v>
      </c>
      <c r="I364" s="11" t="inlineStr">
        <is>
          <t>Engineer Review</t>
        </is>
      </c>
      <c r="J364" s="8" t="inlineStr">
        <is>
          <t>Sheet L11, Proposed Traffic Signal/Fiber Locations table: LB4, Sta. 98+25.78; 22.6 ft R</t>
        </is>
      </c>
      <c r="K364" s="8" t="inlineStr">
        <is>
          <t>One table row counted as one locator ball.</t>
        </is>
      </c>
    </row>
    <row r="365">
      <c r="A365" s="5" t="n">
        <v>350</v>
      </c>
      <c r="B365" s="5" t="inlineStr"/>
      <c r="C365" s="6" t="inlineStr">
        <is>
          <t>Locator Ball LB5</t>
        </is>
      </c>
      <c r="D365" s="5" t="inlineStr">
        <is>
          <t>EA</t>
        </is>
      </c>
      <c r="E365" s="7" t="n">
        <v>1</v>
      </c>
      <c r="F365" s="8" t="inlineStr"/>
      <c r="G365" s="8" t="inlineStr"/>
      <c r="H365" s="9" t="n">
        <v>95</v>
      </c>
      <c r="I365" s="11" t="inlineStr">
        <is>
          <t>Engineer Review</t>
        </is>
      </c>
      <c r="J365" s="8" t="inlineStr">
        <is>
          <t>Sheet L11, Proposed Traffic Signal/Fiber Locations table: LB5, Sta. 99+21.06; 19.8 ft R</t>
        </is>
      </c>
      <c r="K365" s="8" t="inlineStr">
        <is>
          <t>One table row counted as one locator ball.</t>
        </is>
      </c>
    </row>
    <row r="366">
      <c r="A366" s="5" t="n">
        <v>351</v>
      </c>
      <c r="B366" s="5" t="inlineStr"/>
      <c r="C366" s="6" t="inlineStr">
        <is>
          <t>Locator Ball LB6</t>
        </is>
      </c>
      <c r="D366" s="5" t="inlineStr">
        <is>
          <t>EA</t>
        </is>
      </c>
      <c r="E366" s="7" t="n">
        <v>1</v>
      </c>
      <c r="F366" s="8" t="inlineStr"/>
      <c r="G366" s="8" t="inlineStr"/>
      <c r="H366" s="9" t="n">
        <v>95</v>
      </c>
      <c r="I366" s="11" t="inlineStr">
        <is>
          <t>Engineer Review</t>
        </is>
      </c>
      <c r="J366" s="8" t="inlineStr">
        <is>
          <t>Sheet L11, Proposed Traffic Signal/Fiber Locations table: LB6, Sta. 99+25.78; 19.8 ft R</t>
        </is>
      </c>
      <c r="K366" s="8" t="inlineStr">
        <is>
          <t>One table row counted as one locator ball.</t>
        </is>
      </c>
    </row>
    <row r="367">
      <c r="A367" s="3" t="inlineStr">
        <is>
          <t>Miscellaneous</t>
        </is>
      </c>
      <c r="B367" s="4" t="n"/>
      <c r="C367" s="4" t="n"/>
      <c r="D367" s="4" t="n"/>
      <c r="E367" s="4" t="n"/>
      <c r="F367" s="4" t="n"/>
      <c r="G367" s="4" t="n"/>
      <c r="H367" s="4" t="n"/>
      <c r="I367" s="4" t="n"/>
      <c r="J367" s="4" t="n"/>
      <c r="K367" s="4" t="n"/>
    </row>
    <row r="368">
      <c r="A368" s="5" t="n">
        <v>352</v>
      </c>
      <c r="B368" s="5" t="inlineStr"/>
      <c r="C368" s="6" t="inlineStr">
        <is>
          <t>Class M6 Concrete for Storm Structures</t>
        </is>
      </c>
      <c r="D368" s="5" t="inlineStr">
        <is>
          <t>CY</t>
        </is>
      </c>
      <c r="E368" s="7" t="n">
        <v>69.28</v>
      </c>
      <c r="F368" s="8" t="inlineStr"/>
      <c r="G368" s="8" t="inlineStr"/>
      <c r="H368" s="9" t="n">
        <v>99</v>
      </c>
      <c r="I368" s="10" t="inlineStr">
        <is>
          <t>Verified</t>
        </is>
      </c>
      <c r="J368" s="8" t="inlineStr">
        <is>
          <t>Table of Storm Sewer Drop Inlets and Junction Boxes - Total</t>
        </is>
      </c>
      <c r="K368" s="8" t="inlineStr">
        <is>
          <t>Extracted total Class M6 concrete quantity.</t>
        </is>
      </c>
    </row>
    <row r="369">
      <c r="A369" s="5" t="n">
        <v>353</v>
      </c>
      <c r="B369" s="5" t="inlineStr"/>
      <c r="C369" s="6" t="inlineStr">
        <is>
          <t>Frame and Cover Type X</t>
        </is>
      </c>
      <c r="D369" s="5" t="inlineStr">
        <is>
          <t>EA</t>
        </is>
      </c>
      <c r="E369" s="7" t="n">
        <v>2</v>
      </c>
      <c r="F369" s="8" t="inlineStr"/>
      <c r="G369" s="8" t="inlineStr"/>
      <c r="H369" s="9" t="n">
        <v>99</v>
      </c>
      <c r="I369" s="10" t="inlineStr">
        <is>
          <t>Verified</t>
        </is>
      </c>
      <c r="J369" s="8" t="inlineStr">
        <is>
          <t>Table of Storm Sewer Drop Inlets and Junction Boxes - Total</t>
        </is>
      </c>
      <c r="K369" s="8" t="inlineStr">
        <is>
          <t>Extracted total Frame and Cover Type X quantity.</t>
        </is>
      </c>
    </row>
    <row r="370">
      <c r="A370" s="5" t="n">
        <v>354</v>
      </c>
      <c r="B370" s="5" t="inlineStr"/>
      <c r="C370" s="6" t="inlineStr">
        <is>
          <t>Frame and Cover Type Y</t>
        </is>
      </c>
      <c r="D370" s="5" t="inlineStr">
        <is>
          <t>EA</t>
        </is>
      </c>
      <c r="E370" s="7" t="n">
        <v>2</v>
      </c>
      <c r="F370" s="8" t="inlineStr"/>
      <c r="G370" s="8" t="inlineStr"/>
      <c r="H370" s="9" t="n">
        <v>99</v>
      </c>
      <c r="I370" s="10" t="inlineStr">
        <is>
          <t>Verified</t>
        </is>
      </c>
      <c r="J370" s="8" t="inlineStr">
        <is>
          <t>Table of Storm Sewer Drop Inlets and Junction Boxes - Total</t>
        </is>
      </c>
      <c r="K370" s="8" t="inlineStr">
        <is>
          <t>Extracted total Frame and Cover Type Y quantity.</t>
        </is>
      </c>
    </row>
    <row r="371">
      <c r="A371" s="5" t="n">
        <v>355</v>
      </c>
      <c r="B371" s="5" t="inlineStr"/>
      <c r="C371" s="6" t="inlineStr">
        <is>
          <t>Frame and Cover Type 1 JB</t>
        </is>
      </c>
      <c r="D371" s="5" t="inlineStr">
        <is>
          <t>EA</t>
        </is>
      </c>
      <c r="E371" s="7" t="n">
        <v>9</v>
      </c>
      <c r="F371" s="8" t="inlineStr"/>
      <c r="G371" s="8" t="inlineStr"/>
      <c r="H371" s="9" t="n">
        <v>99</v>
      </c>
      <c r="I371" s="10" t="inlineStr">
        <is>
          <t>Verified</t>
        </is>
      </c>
      <c r="J371" s="8" t="inlineStr">
        <is>
          <t>Table of Storm Sewer Drop Inlets and Junction Boxes - Total</t>
        </is>
      </c>
      <c r="K371" s="8" t="inlineStr">
        <is>
          <t>Extracted total Frame and Cover Type 1 JB quantity.</t>
        </is>
      </c>
    </row>
    <row r="372">
      <c r="A372" s="5" t="n">
        <v>356</v>
      </c>
      <c r="B372" s="5" t="inlineStr"/>
      <c r="C372" s="6" t="inlineStr">
        <is>
          <t>Tax on City Furnished Materials</t>
        </is>
      </c>
      <c r="D372" s="5" t="inlineStr">
        <is>
          <t>LS</t>
        </is>
      </c>
      <c r="E372" s="7" t="n">
        <v>1</v>
      </c>
      <c r="F372" s="8" t="inlineStr"/>
      <c r="G372" s="8" t="inlineStr"/>
      <c r="H372" s="9" t="n">
        <v>88</v>
      </c>
      <c r="I372" s="11" t="inlineStr">
        <is>
          <t>Engineer Review</t>
        </is>
      </c>
      <c r="J372" s="8" t="inlineStr">
        <is>
          <t>City Material Procurement (Ctd.) note</t>
        </is>
      </c>
      <c r="K372" s="8" t="inlineStr">
        <is>
          <t>Bid item is stated to be included in the Estimate of Quantities. Sheet states calculated City furnished-material sales tax is $5,708.61, based on $92,074.38 material value at 6.2 percent.</t>
        </is>
      </c>
    </row>
    <row r="373">
      <c r="A373" s="5" t="n">
        <v>357</v>
      </c>
      <c r="B373" s="5" t="inlineStr"/>
      <c r="C373" s="6" t="inlineStr">
        <is>
          <t>Parcel 1 - Temporary Construction Easement</t>
        </is>
      </c>
      <c r="D373" s="5" t="inlineStr">
        <is>
          <t>SF</t>
        </is>
      </c>
      <c r="E373" s="7" t="n">
        <v>56496</v>
      </c>
      <c r="F373" s="8" t="inlineStr"/>
      <c r="G373" s="8" t="inlineStr"/>
      <c r="H373" s="9" t="n">
        <v>96</v>
      </c>
      <c r="I373" s="11" t="inlineStr">
        <is>
          <t>Engineer Review</t>
        </is>
      </c>
      <c r="J373" s="8" t="inlineStr">
        <is>
          <t>E1 Table of Right of Way and Easements; Parcel 1, Sta. 66+34.40 to 73+86.59 LT</t>
        </is>
      </c>
      <c r="K373" s="8" t="inlineStr">
        <is>
          <t>Extracted from Area Req. Sq. Ft. schedule cell.</t>
        </is>
      </c>
    </row>
    <row r="374">
      <c r="A374" s="5" t="n">
        <v>358</v>
      </c>
      <c r="B374" s="5" t="inlineStr"/>
      <c r="C374" s="6" t="inlineStr">
        <is>
          <t>Parcel 2 - Permanent Utility Easement</t>
        </is>
      </c>
      <c r="D374" s="5" t="inlineStr">
        <is>
          <t>SF</t>
        </is>
      </c>
      <c r="E374" s="7" t="n">
        <v>6103</v>
      </c>
      <c r="F374" s="8" t="inlineStr"/>
      <c r="G374" s="8" t="inlineStr"/>
      <c r="H374" s="9" t="n">
        <v>96</v>
      </c>
      <c r="I374" s="11" t="inlineStr">
        <is>
          <t>Engineer Review</t>
        </is>
      </c>
      <c r="J374" s="8" t="inlineStr">
        <is>
          <t>E1 Table of Right of Way and Easements; Parcel 2, Sta. 68+92.75 to 73+86.59 LT</t>
        </is>
      </c>
      <c r="K374" s="8" t="inlineStr">
        <is>
          <t>Extracted from Area Req. Sq. Ft. schedule cell.</t>
        </is>
      </c>
    </row>
    <row r="375">
      <c r="A375" s="5" t="n">
        <v>359</v>
      </c>
      <c r="B375" s="5" t="inlineStr"/>
      <c r="C375" s="6" t="inlineStr">
        <is>
          <t>Parcel 3 - Right of Way</t>
        </is>
      </c>
      <c r="D375" s="5" t="inlineStr">
        <is>
          <t>SF</t>
        </is>
      </c>
      <c r="E375" s="7" t="n">
        <v>45680</v>
      </c>
      <c r="F375" s="8" t="inlineStr"/>
      <c r="G375" s="8" t="inlineStr"/>
      <c r="H375" s="9" t="n">
        <v>96</v>
      </c>
      <c r="I375" s="11" t="inlineStr">
        <is>
          <t>Engineer Review</t>
        </is>
      </c>
      <c r="J375" s="8" t="inlineStr">
        <is>
          <t>E1/E2/E3 Table of Right of Way and Easements; Parcel 3, Sta. 68+92.75 to 85+40.26 LT</t>
        </is>
      </c>
      <c r="K375" s="8" t="inlineStr">
        <is>
          <t>Extracted from Area Req. Sq. Ft. schedule cell; repeated on continuation sheets with matching quantity.</t>
        </is>
      </c>
    </row>
    <row r="376">
      <c r="A376" s="5" t="n">
        <v>360</v>
      </c>
      <c r="B376" s="5" t="inlineStr"/>
      <c r="C376" s="6" t="inlineStr">
        <is>
          <t>Parcel 4 - Right of Way</t>
        </is>
      </c>
      <c r="D376" s="5" t="inlineStr">
        <is>
          <t>SF</t>
        </is>
      </c>
      <c r="E376" s="7" t="n">
        <v>45313</v>
      </c>
      <c r="F376" s="8" t="inlineStr"/>
      <c r="G376" s="8" t="inlineStr"/>
      <c r="H376" s="9" t="n">
        <v>96</v>
      </c>
      <c r="I376" s="11" t="inlineStr">
        <is>
          <t>Engineer Review</t>
        </is>
      </c>
      <c r="J376" s="8" t="inlineStr">
        <is>
          <t>E1/E2/E3 Table of Right of Way and Easements; Parcel 4, Sta. 68+92.75 to 89+36.70 RT</t>
        </is>
      </c>
      <c r="K376" s="8" t="inlineStr">
        <is>
          <t>Extracted from Area Req. Sq. Ft. schedule cell; repeated on continuation sheets with matching quantity.</t>
        </is>
      </c>
    </row>
    <row r="377">
      <c r="A377" s="5" t="n">
        <v>361</v>
      </c>
      <c r="B377" s="5" t="inlineStr"/>
      <c r="C377" s="6" t="inlineStr">
        <is>
          <t>Parcel 5 - Permanent Utility Easement</t>
        </is>
      </c>
      <c r="D377" s="5" t="inlineStr">
        <is>
          <t>SF</t>
        </is>
      </c>
      <c r="E377" s="7" t="n">
        <v>5124</v>
      </c>
      <c r="F377" s="8" t="inlineStr"/>
      <c r="G377" s="8" t="inlineStr"/>
      <c r="H377" s="9" t="n">
        <v>96</v>
      </c>
      <c r="I377" s="11" t="inlineStr">
        <is>
          <t>Engineer Review</t>
        </is>
      </c>
      <c r="J377" s="8" t="inlineStr">
        <is>
          <t>E1 Table of Right of Way and Easements; Parcel 5, Sta. 68+92.75 to 73+87.08 RT</t>
        </is>
      </c>
      <c r="K377" s="8" t="inlineStr">
        <is>
          <t>Extracted from Area Req. Sq. Ft. schedule cell.</t>
        </is>
      </c>
    </row>
    <row r="378">
      <c r="A378" s="5" t="n">
        <v>362</v>
      </c>
      <c r="B378" s="5" t="inlineStr"/>
      <c r="C378" s="6" t="inlineStr">
        <is>
          <t>Parcel 6 - Temporary Construction Easement</t>
        </is>
      </c>
      <c r="D378" s="5" t="inlineStr">
        <is>
          <t>SF</t>
        </is>
      </c>
      <c r="E378" s="7" t="n">
        <v>1400</v>
      </c>
      <c r="F378" s="8" t="inlineStr"/>
      <c r="G378" s="8" t="inlineStr"/>
      <c r="H378" s="9" t="n">
        <v>96</v>
      </c>
      <c r="I378" s="11" t="inlineStr">
        <is>
          <t>Engineer Review</t>
        </is>
      </c>
      <c r="J378" s="8" t="inlineStr">
        <is>
          <t>E1 Table of Right of Way and Easements; Parcel 6, Sta. 70+82.23 to 71+22.23 RT</t>
        </is>
      </c>
      <c r="K378" s="8" t="inlineStr">
        <is>
          <t>Extracted from Area Req. Sq. Ft. schedule cell.</t>
        </is>
      </c>
    </row>
    <row r="379">
      <c r="A379" s="5" t="n">
        <v>363</v>
      </c>
      <c r="B379" s="5" t="inlineStr"/>
      <c r="C379" s="6" t="inlineStr">
        <is>
          <t>Parcel 7 - Temporary Construction Easement</t>
        </is>
      </c>
      <c r="D379" s="5" t="inlineStr">
        <is>
          <t>SF</t>
        </is>
      </c>
      <c r="E379" s="7" t="n">
        <v>3795</v>
      </c>
      <c r="F379" s="8" t="inlineStr"/>
      <c r="G379" s="8" t="inlineStr"/>
      <c r="H379" s="9" t="n">
        <v>96</v>
      </c>
      <c r="I379" s="11" t="inlineStr">
        <is>
          <t>Engineer Review</t>
        </is>
      </c>
      <c r="J379" s="8" t="inlineStr">
        <is>
          <t>E1/E2 Table of Right of Way and Easements; Parcel 7, Sta. 72+02.32 to 74+77.08 RT</t>
        </is>
      </c>
      <c r="K379" s="8" t="inlineStr">
        <is>
          <t>Extracted from Area Req. Sq. Ft. schedule cell; repeated on continuation sheet with matching quantity.</t>
        </is>
      </c>
    </row>
    <row r="380">
      <c r="A380" s="5" t="n">
        <v>364</v>
      </c>
      <c r="B380" s="5" t="inlineStr"/>
      <c r="C380" s="6" t="inlineStr">
        <is>
          <t>Parcel 8 - Temporary Construction Easement</t>
        </is>
      </c>
      <c r="D380" s="5" t="inlineStr">
        <is>
          <t>SF</t>
        </is>
      </c>
      <c r="E380" s="7" t="n">
        <v>58407</v>
      </c>
      <c r="F380" s="8" t="inlineStr"/>
      <c r="G380" s="8" t="inlineStr"/>
      <c r="H380" s="9" t="n">
        <v>96</v>
      </c>
      <c r="I380" s="11" t="inlineStr">
        <is>
          <t>Engineer Review</t>
        </is>
      </c>
      <c r="J380" s="8" t="inlineStr">
        <is>
          <t>E2/E3 Table of Right of Way and Easements; Parcel 8, Sta. 74+66.63 to 83+92.09 LT</t>
        </is>
      </c>
      <c r="K380" s="8" t="inlineStr">
        <is>
          <t>Extracted from Area Req. Sq. Ft. schedule cell; repeated on continuation sheet with matching quantity.</t>
        </is>
      </c>
    </row>
    <row r="381">
      <c r="A381" s="5" t="n">
        <v>365</v>
      </c>
      <c r="B381" s="5" t="inlineStr"/>
      <c r="C381" s="6" t="inlineStr">
        <is>
          <t>Parcel 9 - Permanent Utility Easement</t>
        </is>
      </c>
      <c r="D381" s="5" t="inlineStr">
        <is>
          <t>SF</t>
        </is>
      </c>
      <c r="E381" s="7" t="n">
        <v>9638</v>
      </c>
      <c r="F381" s="8" t="inlineStr"/>
      <c r="G381" s="8" t="inlineStr"/>
      <c r="H381" s="9" t="n">
        <v>96</v>
      </c>
      <c r="I381" s="11" t="inlineStr">
        <is>
          <t>Engineer Review</t>
        </is>
      </c>
      <c r="J381" s="8" t="inlineStr">
        <is>
          <t>E2 Table of Right of Way and Easements; Parcel 9, Sta. 74+66.31 to 83+02.09 LT</t>
        </is>
      </c>
      <c r="K381" s="8" t="inlineStr">
        <is>
          <t>Extracted from Area Req. Sq. Ft. schedule cell.</t>
        </is>
      </c>
    </row>
    <row r="382">
      <c r="A382" s="5" t="n">
        <v>366</v>
      </c>
      <c r="B382" s="5" t="inlineStr"/>
      <c r="C382" s="6" t="inlineStr">
        <is>
          <t>Parcel 11 - Temporary Construction Easement</t>
        </is>
      </c>
      <c r="D382" s="5" t="inlineStr">
        <is>
          <t>SF</t>
        </is>
      </c>
      <c r="E382" s="7" t="n">
        <v>14804</v>
      </c>
      <c r="F382" s="8" t="inlineStr"/>
      <c r="G382" s="8" t="inlineStr"/>
      <c r="H382" s="9" t="n">
        <v>96</v>
      </c>
      <c r="I382" s="11" t="inlineStr">
        <is>
          <t>Engineer Review</t>
        </is>
      </c>
      <c r="J382" s="8" t="inlineStr">
        <is>
          <t>E2 Table of Right of Way and Easements; Parcel 11, Sta. 75+85.00 to 81+17.65 RT</t>
        </is>
      </c>
      <c r="K382" s="8" t="inlineStr">
        <is>
          <t>Extracted from Area Req. Sq. Ft. schedule cell.</t>
        </is>
      </c>
    </row>
    <row r="383">
      <c r="A383" s="5" t="n">
        <v>367</v>
      </c>
      <c r="B383" s="5" t="inlineStr"/>
      <c r="C383" s="6" t="inlineStr">
        <is>
          <t>Parcel 12 - Permanent Utility Easement</t>
        </is>
      </c>
      <c r="D383" s="5" t="inlineStr">
        <is>
          <t>SF</t>
        </is>
      </c>
      <c r="E383" s="7" t="n">
        <v>8693</v>
      </c>
      <c r="F383" s="8" t="inlineStr"/>
      <c r="G383" s="8" t="inlineStr"/>
      <c r="H383" s="9" t="n">
        <v>96</v>
      </c>
      <c r="I383" s="11" t="inlineStr">
        <is>
          <t>Engineer Review</t>
        </is>
      </c>
      <c r="J383" s="8" t="inlineStr">
        <is>
          <t>E2/E3 Table of Right of Way and Easements; Parcel 12, Sta. 74+67.08 to 83+02.09 RT</t>
        </is>
      </c>
      <c r="K383" s="8" t="inlineStr">
        <is>
          <t>Extracted from Area Req. Sq. Ft. schedule cell; repeated on continuation sheet with matching quantity.</t>
        </is>
      </c>
    </row>
    <row r="384">
      <c r="A384" s="5" t="n">
        <v>368</v>
      </c>
      <c r="B384" s="5" t="inlineStr"/>
      <c r="C384" s="6" t="inlineStr">
        <is>
          <t>Parcel 13 - Permanent Utility Easement</t>
        </is>
      </c>
      <c r="D384" s="5" t="inlineStr">
        <is>
          <t>SF</t>
        </is>
      </c>
      <c r="E384" s="7" t="n">
        <v>1738</v>
      </c>
      <c r="F384" s="8" t="inlineStr"/>
      <c r="G384" s="8" t="inlineStr"/>
      <c r="H384" s="9" t="n">
        <v>96</v>
      </c>
      <c r="I384" s="11" t="inlineStr">
        <is>
          <t>Engineer Review</t>
        </is>
      </c>
      <c r="J384" s="8" t="inlineStr">
        <is>
          <t>E3 Table of Right of Way and Easements; Parcel 13, Sta. 82+92.09 to 85+40.62 LT</t>
        </is>
      </c>
      <c r="K384" s="8" t="inlineStr">
        <is>
          <t>Extracted from Area Req. Sq. Ft. schedule cell.</t>
        </is>
      </c>
    </row>
    <row r="385">
      <c r="A385" s="5" t="n">
        <v>369</v>
      </c>
      <c r="B385" s="5" t="inlineStr"/>
      <c r="C385" s="6" t="inlineStr">
        <is>
          <t>Parcel 14 - Permanent Utility Easement</t>
        </is>
      </c>
      <c r="D385" s="5" t="inlineStr">
        <is>
          <t>SF</t>
        </is>
      </c>
      <c r="E385" s="7" t="n">
        <v>3970</v>
      </c>
      <c r="F385" s="8" t="inlineStr"/>
      <c r="G385" s="8" t="inlineStr"/>
      <c r="H385" s="9" t="n">
        <v>96</v>
      </c>
      <c r="I385" s="11" t="inlineStr">
        <is>
          <t>Engineer Review</t>
        </is>
      </c>
      <c r="J385" s="8" t="inlineStr">
        <is>
          <t>E3 Table of Right of Way and Easements; Parcel 14, Sta. 85+40.62 to 89+37.44 LT</t>
        </is>
      </c>
      <c r="K385" s="8" t="inlineStr">
        <is>
          <t>Extracted from Area Req. Sq. Ft. schedule cell.</t>
        </is>
      </c>
    </row>
    <row r="386">
      <c r="A386" s="5" t="n">
        <v>370</v>
      </c>
      <c r="B386" s="5" t="inlineStr"/>
      <c r="C386" s="6" t="inlineStr">
        <is>
          <t>Parcel 15 - Right of Way</t>
        </is>
      </c>
      <c r="D386" s="5" t="inlineStr">
        <is>
          <t>SF</t>
        </is>
      </c>
      <c r="E386" s="7" t="n">
        <v>46033</v>
      </c>
      <c r="F386" s="8" t="inlineStr"/>
      <c r="G386" s="8" t="inlineStr"/>
      <c r="H386" s="9" t="n">
        <v>96</v>
      </c>
      <c r="I386" s="11" t="inlineStr">
        <is>
          <t>Engineer Review</t>
        </is>
      </c>
      <c r="J386" s="8" t="inlineStr">
        <is>
          <t>E3 Table of Right of Way and Easements; Parcel 15, Sta. 85+40.51 to 89+37.35 LT</t>
        </is>
      </c>
      <c r="K386" s="8" t="inlineStr">
        <is>
          <t>Extracted from Area Req. Sq. Ft. schedule cell.</t>
        </is>
      </c>
    </row>
    <row r="387">
      <c r="A387" s="5" t="n">
        <v>371</v>
      </c>
      <c r="B387" s="5" t="inlineStr"/>
      <c r="C387" s="6" t="inlineStr">
        <is>
          <t>Parcel 16 - Temporary Construction Easement</t>
        </is>
      </c>
      <c r="D387" s="5" t="inlineStr">
        <is>
          <t>SF</t>
        </is>
      </c>
      <c r="E387" s="7" t="n">
        <v>4570</v>
      </c>
      <c r="F387" s="8" t="inlineStr"/>
      <c r="G387" s="8" t="inlineStr"/>
      <c r="H387" s="9" t="n">
        <v>96</v>
      </c>
      <c r="I387" s="11" t="inlineStr">
        <is>
          <t>Engineer Review</t>
        </is>
      </c>
      <c r="J387" s="8" t="inlineStr">
        <is>
          <t>E3 Table of Right of Way and Easements; Parcel 16, Sta. 85+40.51 to 89+37.53 LT</t>
        </is>
      </c>
      <c r="K387" s="8" t="inlineStr">
        <is>
          <t>Extracted from Area Req. Sq. Ft. schedule cell.</t>
        </is>
      </c>
    </row>
    <row r="388">
      <c r="A388" s="5" t="n">
        <v>372</v>
      </c>
      <c r="B388" s="5" t="inlineStr"/>
      <c r="C388" s="6" t="inlineStr">
        <is>
          <t>Parcel 17 - Temporary Construction Easement</t>
        </is>
      </c>
      <c r="D388" s="5" t="inlineStr">
        <is>
          <t>SF</t>
        </is>
      </c>
      <c r="E388" s="7" t="n">
        <v>9447</v>
      </c>
      <c r="F388" s="8" t="inlineStr"/>
      <c r="G388" s="8" t="inlineStr"/>
      <c r="H388" s="9" t="n">
        <v>96</v>
      </c>
      <c r="I388" s="11" t="inlineStr">
        <is>
          <t>Engineer Review</t>
        </is>
      </c>
      <c r="J388" s="8" t="inlineStr">
        <is>
          <t>E3 Table of Right of Way and Easements; Parcel 17, Sta. 82+92.09 to 89+36.51 RT</t>
        </is>
      </c>
      <c r="K388" s="8" t="inlineStr">
        <is>
          <t>Extracted from Area Req. Sq. Ft. schedule cell.</t>
        </is>
      </c>
    </row>
    <row r="389">
      <c r="A389" s="5" t="n">
        <v>373</v>
      </c>
      <c r="B389" s="5" t="inlineStr"/>
      <c r="C389" s="6" t="inlineStr">
        <is>
          <t>Parcel 18 - Permanent Utility Easement</t>
        </is>
      </c>
      <c r="D389" s="5" t="inlineStr">
        <is>
          <t>SF</t>
        </is>
      </c>
      <c r="E389" s="7" t="n">
        <v>5733</v>
      </c>
      <c r="F389" s="8" t="inlineStr"/>
      <c r="G389" s="8" t="inlineStr"/>
      <c r="H389" s="9" t="n">
        <v>96</v>
      </c>
      <c r="I389" s="11" t="inlineStr">
        <is>
          <t>Engineer Review</t>
        </is>
      </c>
      <c r="J389" s="8" t="inlineStr">
        <is>
          <t>E3 Table of Right of Way and Easements; Parcel 18, Sta. 83+02.09 to 89+36.54 RT</t>
        </is>
      </c>
      <c r="K389" s="8" t="inlineStr">
        <is>
          <t>Extracted from Area Req. Sq. Ft. schedule cell.</t>
        </is>
      </c>
    </row>
    <row r="390">
      <c r="A390" s="5" t="n">
        <v>374</v>
      </c>
      <c r="B390" s="5" t="inlineStr"/>
      <c r="C390" s="6" t="inlineStr">
        <is>
          <t>Parcel 19 - Temporary Construction Easement</t>
        </is>
      </c>
      <c r="D390" s="5" t="inlineStr">
        <is>
          <t>SF</t>
        </is>
      </c>
      <c r="E390" s="7" t="n">
        <v>2990</v>
      </c>
      <c r="F390" s="8" t="inlineStr"/>
      <c r="G390" s="8" t="inlineStr"/>
      <c r="H390" s="9" t="n">
        <v>96</v>
      </c>
      <c r="I390" s="11" t="inlineStr">
        <is>
          <t>Engineer Review</t>
        </is>
      </c>
      <c r="J390" s="8" t="inlineStr">
        <is>
          <t>E4 Table of Right of Way and Easements; Parcel 19, Sta. 89+37.53 to 90+89.44 LT</t>
        </is>
      </c>
      <c r="K390" s="8" t="inlineStr">
        <is>
          <t>Extracted from Area Req. Sq. Ft. schedule cell.</t>
        </is>
      </c>
    </row>
    <row r="391">
      <c r="A391" s="5" t="n">
        <v>375</v>
      </c>
      <c r="B391" s="5" t="inlineStr"/>
      <c r="C391" s="6" t="inlineStr">
        <is>
          <t>Parcel 20 - Permanent Utility Easement</t>
        </is>
      </c>
      <c r="D391" s="5" t="inlineStr">
        <is>
          <t>SF</t>
        </is>
      </c>
      <c r="E391" s="7" t="n">
        <v>1709</v>
      </c>
      <c r="F391" s="8" t="inlineStr"/>
      <c r="G391" s="8" t="inlineStr"/>
      <c r="H391" s="9" t="n">
        <v>96</v>
      </c>
      <c r="I391" s="11" t="inlineStr">
        <is>
          <t>Engineer Review</t>
        </is>
      </c>
      <c r="J391" s="8" t="inlineStr">
        <is>
          <t>E4 Table of Right of Way and Easements; Parcel 20, Sta. 82+37.44 to 90+89.44 LT</t>
        </is>
      </c>
      <c r="K391" s="8" t="inlineStr">
        <is>
          <t>Extracted from Area Req. Sq. Ft. schedule cell.</t>
        </is>
      </c>
    </row>
    <row r="392">
      <c r="A392" s="5" t="n">
        <v>376</v>
      </c>
      <c r="B392" s="5" t="inlineStr"/>
      <c r="C392" s="6" t="inlineStr">
        <is>
          <t>Parcel 21 - Right of Way (E4 listed area)</t>
        </is>
      </c>
      <c r="D392" s="5" t="inlineStr">
        <is>
          <t>SF</t>
        </is>
      </c>
      <c r="E392" s="7" t="n">
        <v>44189</v>
      </c>
      <c r="F392" s="8" t="inlineStr"/>
      <c r="G392" s="8" t="inlineStr"/>
      <c r="H392" s="9" t="n">
        <v>70</v>
      </c>
      <c r="I392" s="11" t="inlineStr">
        <is>
          <t>Engineer Review</t>
        </is>
      </c>
      <c r="J392" s="8" t="inlineStr">
        <is>
          <t>E4 Table of Right of Way and Easements; Parcel 21, Sta. 89+37.35 to 102+57.24 LT</t>
        </is>
      </c>
      <c r="K392" s="8" t="inlineStr">
        <is>
          <t>Extracted from Area Req. Sq. Ft. schedule cell. Conflicts with E5 listing of 87,761 SqFt for the same parcel and station range.</t>
        </is>
      </c>
    </row>
    <row r="393">
      <c r="A393" s="5" t="n">
        <v>377</v>
      </c>
      <c r="B393" s="5" t="inlineStr"/>
      <c r="C393" s="6" t="inlineStr">
        <is>
          <t>Parcel 22 - Permanent Utility Easement</t>
        </is>
      </c>
      <c r="D393" s="5" t="inlineStr">
        <is>
          <t>SF</t>
        </is>
      </c>
      <c r="E393" s="7" t="n">
        <v>7016</v>
      </c>
      <c r="F393" s="8" t="inlineStr"/>
      <c r="G393" s="8" t="inlineStr"/>
      <c r="H393" s="9" t="n">
        <v>96</v>
      </c>
      <c r="I393" s="11" t="inlineStr">
        <is>
          <t>Engineer Review</t>
        </is>
      </c>
      <c r="J393" s="8" t="inlineStr">
        <is>
          <t>E4/E5 Table of Right of Way and Easements; Parcel 22, Sta. 91+69.44 to 98+33.44 LT</t>
        </is>
      </c>
      <c r="K393" s="8" t="inlineStr">
        <is>
          <t>Extracted from Area Req. Sq. Ft. schedule cell; repeated on E5 with matching quantity.</t>
        </is>
      </c>
    </row>
    <row r="394">
      <c r="A394" s="5" t="n">
        <v>378</v>
      </c>
      <c r="B394" s="5" t="inlineStr"/>
      <c r="C394" s="6" t="inlineStr">
        <is>
          <t>Parcel 21 - Right of Way (E5 listed area)</t>
        </is>
      </c>
      <c r="D394" s="5" t="inlineStr">
        <is>
          <t>SF</t>
        </is>
      </c>
      <c r="E394" s="7" t="n">
        <v>87761</v>
      </c>
      <c r="F394" s="8" t="inlineStr"/>
      <c r="G394" s="8" t="inlineStr"/>
      <c r="H394" s="9" t="n">
        <v>70</v>
      </c>
      <c r="I394" s="11" t="inlineStr">
        <is>
          <t>Engineer Review</t>
        </is>
      </c>
      <c r="J394" s="8" t="inlineStr">
        <is>
          <t>E5 Table of Right of Way and Easements; Parcel 21, Sta. 89+37.35 to 102+57.24 LT</t>
        </is>
      </c>
      <c r="K394" s="8" t="inlineStr">
        <is>
          <t>Extracted from Area Req. Sq. Ft. schedule cell. Conflicts with E4 listing of 44,189 SqFt for the same parcel and station range.</t>
        </is>
      </c>
    </row>
    <row r="395">
      <c r="A395" s="5" t="n">
        <v>379</v>
      </c>
      <c r="B395" s="5" t="inlineStr"/>
      <c r="C395" s="6" t="inlineStr">
        <is>
          <t>Parcel 23 - Permanent Utility Easement</t>
        </is>
      </c>
      <c r="D395" s="5" t="inlineStr">
        <is>
          <t>SF</t>
        </is>
      </c>
      <c r="E395" s="7" t="n">
        <v>8036</v>
      </c>
      <c r="F395" s="8" t="inlineStr"/>
      <c r="G395" s="8" t="inlineStr"/>
      <c r="H395" s="9" t="n">
        <v>96</v>
      </c>
      <c r="I395" s="11" t="inlineStr">
        <is>
          <t>Engineer Review</t>
        </is>
      </c>
      <c r="J395" s="8" t="inlineStr">
        <is>
          <t>E5 Table of Right of Way and Easements; Parcel 23, Sta. 99+13.44 to 102+57.92 LT</t>
        </is>
      </c>
      <c r="K395" s="8" t="inlineStr">
        <is>
          <t>Extracted from Area Req. Sq. Ft. schedule cell.</t>
        </is>
      </c>
    </row>
    <row r="396">
      <c r="A396" s="5" t="n">
        <v>380</v>
      </c>
      <c r="B396" s="5" t="inlineStr"/>
      <c r="C396" s="6" t="inlineStr">
        <is>
          <t>Right Of Way</t>
        </is>
      </c>
      <c r="D396" s="5" t="inlineStr">
        <is>
          <t>SF</t>
        </is>
      </c>
      <c r="E396" s="7" t="n">
        <v>87761</v>
      </c>
      <c r="F396" s="8" t="inlineStr"/>
      <c r="G396" s="8" t="inlineStr"/>
      <c r="H396" s="9" t="n">
        <v>98</v>
      </c>
      <c r="I396" s="10" t="inlineStr">
        <is>
          <t>Verified</t>
        </is>
      </c>
      <c r="J396" s="8" t="inlineStr">
        <is>
          <t>Sheet E6, Table of Right of Way and Easements, Parcel 21, station 89+37.35 to 102+57.24 LT</t>
        </is>
      </c>
      <c r="K396" s="8" t="inlineStr">
        <is>
          <t>Extracted from table cell: Area Req. Sq. Ft. = 87,761 SF.</t>
        </is>
      </c>
    </row>
    <row r="397">
      <c r="A397" s="5" t="n">
        <v>381</v>
      </c>
      <c r="B397" s="5" t="inlineStr"/>
      <c r="C397" s="6" t="inlineStr">
        <is>
          <t>Permanent Utility Easement - Parcel 22</t>
        </is>
      </c>
      <c r="D397" s="5" t="inlineStr">
        <is>
          <t>SF</t>
        </is>
      </c>
      <c r="E397" s="7" t="n">
        <v>7016</v>
      </c>
      <c r="F397" s="8" t="inlineStr"/>
      <c r="G397" s="8" t="inlineStr"/>
      <c r="H397" s="9" t="n">
        <v>98</v>
      </c>
      <c r="I397" s="10" t="inlineStr">
        <is>
          <t>Verified</t>
        </is>
      </c>
      <c r="J397" s="8" t="inlineStr">
        <is>
          <t>Sheet E6, Table of Right of Way and Easements, Parcel 22, station 91+69.44 to 98+33.44 LT</t>
        </is>
      </c>
      <c r="K397" s="8" t="inlineStr">
        <is>
          <t>Extracted from table cell: Area Req. Sq. Ft. = 7,016 SF.</t>
        </is>
      </c>
    </row>
    <row r="398">
      <c r="A398" s="5" t="n">
        <v>382</v>
      </c>
      <c r="B398" s="5" t="inlineStr"/>
      <c r="C398" s="6" t="inlineStr">
        <is>
          <t>Permanent Utility Easement - Parcel 23</t>
        </is>
      </c>
      <c r="D398" s="5" t="inlineStr">
        <is>
          <t>SF</t>
        </is>
      </c>
      <c r="E398" s="7" t="n">
        <v>8036</v>
      </c>
      <c r="F398" s="8" t="inlineStr"/>
      <c r="G398" s="8" t="inlineStr"/>
      <c r="H398" s="9" t="n">
        <v>98</v>
      </c>
      <c r="I398" s="10" t="inlineStr">
        <is>
          <t>Verified</t>
        </is>
      </c>
      <c r="J398" s="8" t="inlineStr">
        <is>
          <t>Sheet E6, Table of Right of Way and Easements, Parcel 23, station 99+13.44 to 102+57.92 LT</t>
        </is>
      </c>
      <c r="K398" s="8" t="inlineStr">
        <is>
          <t>Extracted from table cell: Area Req. Sq. Ft. = 8,036 SF.</t>
        </is>
      </c>
    </row>
    <row r="399">
      <c r="A399" s="5" t="n">
        <v>383</v>
      </c>
      <c r="B399" s="5" t="inlineStr"/>
      <c r="C399" s="6" t="inlineStr">
        <is>
          <t>Temporary Gravel Access</t>
        </is>
      </c>
      <c r="D399" s="5" t="inlineStr">
        <is>
          <t>LS</t>
        </is>
      </c>
      <c r="E399" s="7" t="n">
        <v>1</v>
      </c>
      <c r="F399" s="8" t="inlineStr"/>
      <c r="G399" s="8" t="inlineStr"/>
      <c r="H399" s="9" t="n">
        <v>95</v>
      </c>
      <c r="I399" s="11" t="inlineStr">
        <is>
          <t>Engineer Review</t>
        </is>
      </c>
      <c r="J399" s="8" t="inlineStr">
        <is>
          <t>Sheet F2, Temporary Gravel Access notes</t>
        </is>
      </c>
      <c r="K399" s="8" t="inlineStr">
        <is>
          <t>Sheet F2 states Temporary Gravel Access shall be paid at the contract Lump Sum price and includes furnishing, maintenance, and salvage of material. Sheets F5-F7 show temporary-access limits for storm sewer and water main installation.</t>
        </is>
      </c>
    </row>
    <row r="400">
      <c r="A400" s="5" t="n">
        <v>384</v>
      </c>
      <c r="B400" s="5" t="inlineStr"/>
      <c r="C400" s="6" t="inlineStr">
        <is>
          <t>Temporary Gravel Access, 6 in Thick</t>
        </is>
      </c>
      <c r="D400" s="5" t="inlineStr">
        <is>
          <t>SY</t>
        </is>
      </c>
      <c r="E400" s="7" t="n">
        <v>2100</v>
      </c>
      <c r="F400" s="8" t="inlineStr"/>
      <c r="G400" s="8" t="inlineStr"/>
      <c r="H400" s="9" t="n">
        <v>93</v>
      </c>
      <c r="I400" s="11" t="inlineStr">
        <is>
          <t>Engineer Review</t>
        </is>
      </c>
      <c r="J400" s="8" t="inlineStr">
        <is>
          <t>Sheet F8, Temporary Access - Water Main Installation; temporary-access limits shown along Tallgrass Avenue; 18-ft width callouts.</t>
        </is>
      </c>
      <c r="K400" s="8" t="inlineStr">
        <is>
          <t>Approximate temporary-access length measured from visible station limits is 1,050 Ft. Area = 18 Ft x 1,050 Ft / 9 = 2,100 SqYd. Length is inferred from stationing and must be field-verified.</t>
        </is>
      </c>
    </row>
    <row r="401">
      <c r="A401" s="5" t="n">
        <v>385</v>
      </c>
      <c r="B401" s="5" t="inlineStr"/>
      <c r="C401" s="6" t="inlineStr">
        <is>
          <t>Temporary Gravel Access Aggregate, 6 in Thick</t>
        </is>
      </c>
      <c r="D401" s="5" t="inlineStr">
        <is>
          <t>CY</t>
        </is>
      </c>
      <c r="E401" s="7" t="n">
        <v>350</v>
      </c>
      <c r="F401" s="8" t="inlineStr"/>
      <c r="G401" s="8" t="inlineStr"/>
      <c r="H401" s="9" t="n">
        <v>93</v>
      </c>
      <c r="I401" s="11" t="inlineStr">
        <is>
          <t>Engineer Review</t>
        </is>
      </c>
      <c r="J401" s="8" t="inlineStr">
        <is>
          <t>Sheet F8 notes: temporary gravel access shall be installed at a thickness of 6 in unless otherwise specified; 18-ft width callouts.</t>
        </is>
      </c>
      <c r="K401" s="8" t="inlineStr">
        <is>
          <t>Aggregate volume = 18 Ft x 1,050 Ft x 0.5 Ft / 27 = 350 CuYd. Access length is approximate from visible station limits; 6-in thickness is explicitly stated.</t>
        </is>
      </c>
    </row>
  </sheetData>
  <mergeCells count="15">
    <mergeCell ref="A61:K61"/>
    <mergeCell ref="A312:K312"/>
    <mergeCell ref="A367:K367"/>
    <mergeCell ref="A26:K26"/>
    <mergeCell ref="A3:K3"/>
    <mergeCell ref="A101:K101"/>
    <mergeCell ref="A7:K7"/>
    <mergeCell ref="A337:K337"/>
    <mergeCell ref="A81:K81"/>
    <mergeCell ref="A24:K24"/>
    <mergeCell ref="A94:K94"/>
    <mergeCell ref="A349:K349"/>
    <mergeCell ref="A308:K308"/>
    <mergeCell ref="A1:K1"/>
    <mergeCell ref="A229:K229"/>
  </mergeCells>
  <conditionalFormatting sqref="I3:I401">
    <cfRule type="expression" priority="1" dxfId="0">
      <formula>$I3="Verified"</formula>
    </cfRule>
    <cfRule type="expression" priority="2" dxfId="1">
      <formula>$I3="Engineer Review"</formula>
    </cfRule>
  </conditionalFormatting>
  <dataValidations count="1">
    <dataValidation sqref="I3:I401" showDropDown="0" showInputMessage="0" showErrorMessage="1" allowBlank="0" errorTitle="Invalid status" error="Choose Verified or Engineer Review" type="list">
      <formula1>"Verified,Engineer Review"</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8" customWidth="1" min="3" max="3"/>
    <col width="12" customWidth="1" min="4" max="4"/>
    <col width="28" customWidth="1" min="5" max="5"/>
    <col width="40" customWidth="1" min="6" max="6"/>
  </cols>
  <sheetData>
    <row r="1">
      <c r="A1" s="2" t="inlineStr">
        <is>
          <t>Bid Item</t>
        </is>
      </c>
      <c r="B1" s="2" t="inlineStr">
        <is>
          <t>Description</t>
        </is>
      </c>
      <c r="C1" s="2" t="inlineStr">
        <is>
          <t>Unit</t>
        </is>
      </c>
      <c r="D1" s="2" t="inlineStr">
        <is>
          <t>Quantity</t>
        </is>
      </c>
      <c r="E1" s="2" t="inlineStr">
        <is>
          <t>Detail Source</t>
        </is>
      </c>
      <c r="F1" s="2" t="inlineStr">
        <is>
          <t>Rollup Note</t>
        </is>
      </c>
    </row>
    <row r="2">
      <c r="A2" t="inlineStr">
        <is>
          <t>No CAD utility detail yet. Process DWG/DXF, then re-export — summary quantities are generated from Linear + Fittings detail sheets.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12" customWidth="1" min="3" max="3"/>
    <col width="12" customWidth="1" min="4" max="4"/>
    <col width="8" customWidth="1" min="5" max="5"/>
    <col width="12" customWidth="1" min="6" max="6"/>
    <col width="14" customWidth="1" min="7" max="7"/>
    <col width="14" customWidth="1" min="8" max="8"/>
    <col width="12" customWidth="1" min="9" max="9"/>
    <col width="12" customWidth="1" min="10" max="10"/>
    <col width="22" customWidth="1" min="11" max="11"/>
    <col width="16" customWidth="1" min="12" max="12"/>
    <col width="22" customWidth="1" min="13" max="13"/>
  </cols>
  <sheetData>
    <row r="1">
      <c r="A1" s="2" t="inlineStr">
        <is>
          <t>Item</t>
        </is>
      </c>
      <c r="B1" s="2" t="inlineStr">
        <is>
          <t>Size</t>
        </is>
      </c>
      <c r="C1" s="2" t="inlineStr">
        <is>
          <t>From Sta.</t>
        </is>
      </c>
      <c r="D1" s="2" t="inlineStr">
        <is>
          <t>To Sta.</t>
        </is>
      </c>
      <c r="E1" s="2" t="inlineStr">
        <is>
          <t>Side</t>
        </is>
      </c>
      <c r="F1" s="2" t="inlineStr">
        <is>
          <t>Offset</t>
        </is>
      </c>
      <c r="G1" s="2" t="inlineStr">
        <is>
          <t>From Offset</t>
        </is>
      </c>
      <c r="H1" s="2" t="inlineStr">
        <is>
          <t>To Offset</t>
        </is>
      </c>
      <c r="I1" s="2" t="inlineStr">
        <is>
          <t>Length (LF)</t>
        </is>
      </c>
      <c r="J1" s="2" t="inlineStr">
        <is>
          <t>Non-Parallel</t>
        </is>
      </c>
      <c r="K1" s="2" t="inlineStr">
        <is>
          <t>Alignment (CL)</t>
        </is>
      </c>
      <c r="L1" s="2" t="inlineStr">
        <is>
          <t>Layer</t>
        </is>
      </c>
      <c r="M1" s="2" t="inlineStr">
        <is>
          <t>Source</t>
        </is>
      </c>
    </row>
    <row r="2">
      <c r="A2" t="inlineStr">
        <is>
          <t>No linear utility runs found. Process CAD with pipes/polylines or station callouts. Stationing is always on the project CENTERLINE.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
  <sheetViews>
    <sheetView workbookViewId="0">
      <pane ySplit="1" topLeftCell="A2" activePane="bottomLeft" state="frozen"/>
      <selection pane="bottomLeft" activeCell="A1" sqref="A1"/>
    </sheetView>
  </sheetViews>
  <sheetFormatPr baseColWidth="8" defaultRowHeight="15"/>
  <cols>
    <col width="14" customWidth="1" min="1" max="1"/>
    <col width="8" customWidth="1" min="2" max="2"/>
    <col width="12" customWidth="1" min="3" max="3"/>
    <col width="8" customWidth="1" min="4" max="4"/>
    <col width="12" customWidth="1" min="5" max="5"/>
    <col width="12" customWidth="1" min="6" max="6"/>
    <col width="22" customWidth="1" min="7" max="7"/>
    <col width="16" customWidth="1" min="8" max="8"/>
    <col width="6" customWidth="1" min="9" max="9"/>
    <col width="22" customWidth="1" min="10" max="10"/>
    <col width="16" customWidth="1" min="11" max="11"/>
    <col width="20" customWidth="1" min="12" max="12"/>
  </cols>
  <sheetData>
    <row r="1">
      <c r="A1" s="2" t="inlineStr">
        <is>
          <t>Type</t>
        </is>
      </c>
      <c r="B1" s="2" t="inlineStr">
        <is>
          <t>Size</t>
        </is>
      </c>
      <c r="C1" s="2" t="inlineStr">
        <is>
          <t>Station</t>
        </is>
      </c>
      <c r="D1" s="2" t="inlineStr">
        <is>
          <t>Side</t>
        </is>
      </c>
      <c r="E1" s="2" t="inlineStr">
        <is>
          <t>Offset</t>
        </is>
      </c>
      <c r="F1" s="2" t="inlineStr">
        <is>
          <t>Angle/Type</t>
        </is>
      </c>
      <c r="G1" s="2" t="inlineStr">
        <is>
          <t>Connects To</t>
        </is>
      </c>
      <c r="H1" s="2" t="inlineStr">
        <is>
          <t>Utility</t>
        </is>
      </c>
      <c r="I1" s="2" t="inlineStr">
        <is>
          <t>Qty</t>
        </is>
      </c>
      <c r="J1" s="2" t="inlineStr">
        <is>
          <t>Alignment (CL)</t>
        </is>
      </c>
      <c r="K1" s="2" t="inlineStr">
        <is>
          <t>Layer</t>
        </is>
      </c>
      <c r="L1" s="2" t="inlineStr">
        <is>
          <t>Source</t>
        </is>
      </c>
    </row>
    <row r="2">
      <c r="A2" t="inlineStr">
        <is>
          <t>No bends/fittings/connections located. Process CAD with fitting blocks or pipe polylines that deflect at vertices.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0" customWidth="1" min="1" max="1"/>
    <col width="28" customWidth="1" min="2" max="2"/>
    <col width="48" customWidth="1" min="3" max="3"/>
    <col width="24" customWidth="1" min="4" max="4"/>
    <col width="18" customWidth="1" min="5" max="5"/>
    <col width="40" customWidth="1" min="6" max="6"/>
  </cols>
  <sheetData>
    <row r="1">
      <c r="A1" s="2" t="inlineStr">
        <is>
          <t>Severity</t>
        </is>
      </c>
      <c r="B1" s="2" t="inlineStr">
        <is>
          <t>Issue</t>
        </is>
      </c>
      <c r="C1" s="2" t="inlineStr">
        <is>
          <t>Message</t>
        </is>
      </c>
      <c r="D1" s="2" t="inlineStr">
        <is>
          <t>Object</t>
        </is>
      </c>
      <c r="E1" s="2" t="inlineStr">
        <is>
          <t>Station</t>
        </is>
      </c>
      <c r="F1" s="2" t="inlineStr">
        <is>
          <t>Suggestion</t>
        </is>
      </c>
    </row>
    <row r="2">
      <c r="A2" t="inlineStr">
        <is>
          <t>No QA flags. Process CAD to populate stationing QA (unidentified fittings, unassociated lines, overlaps, low confidence).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Estimate Of Quantities Title</t>
        </is>
      </c>
      <c r="B1" t="inlineStr">
        <is>
          <t>Big pdf - Estimate Of Quantities v1</t>
        </is>
      </c>
    </row>
    <row r="2">
      <c r="A2" t="inlineStr">
        <is>
          <t>Version</t>
        </is>
      </c>
      <c r="B2" t="n">
        <v>1</v>
      </c>
    </row>
    <row r="3">
      <c r="A3" t="inlineStr">
        <is>
          <t>Status</t>
        </is>
      </c>
      <c r="B3" t="inlineStr">
        <is>
          <t>ai_generated</t>
        </is>
      </c>
    </row>
    <row r="4">
      <c r="A4" t="inlineStr">
        <is>
          <t>Currency</t>
        </is>
      </c>
      <c r="B4" t="inlineStr">
        <is>
          <t>USD</t>
        </is>
      </c>
    </row>
    <row r="5">
      <c r="A5" t="inlineStr">
        <is>
          <t>Notes</t>
        </is>
      </c>
      <c r="B5" t="inlineStr">
        <is>
          <t>Generated from document AI + CAD with CSI codes, units, and confidence scores. Generated with AutoVAD default CSI schedule (no bid template uploaded). Upload a bid list so Generate Estimate Of Quantities maps only the bid items needed for this project.</t>
        </is>
      </c>
    </row>
    <row r="6">
      <c r="A6" t="inlineStr">
        <is>
          <t>Generated by</t>
        </is>
      </c>
      <c r="B6" t="inlineStr">
        <is>
          <t>AutoVAD</t>
        </is>
      </c>
    </row>
    <row r="7">
      <c r="A7" t="inlineStr">
        <is>
          <t>Layout</t>
        </is>
      </c>
      <c r="B7" t="inlineStr">
        <is>
          <t>Full Estimate Of Quantities columns with municipal section grouping (Removals, Grading, Watermain, Sanitary Sewer, …)</t>
        </is>
      </c>
    </row>
    <row r="8">
      <c r="A8" t="inlineStr">
        <is>
          <t>Utility sheets</t>
        </is>
      </c>
      <c r="B8" t="inlineStr">
        <is>
          <t>Bid Quantity Summary is rolled up FROM Linear Quantity Breakdown + Fittings Bends Connections. Stationing is always on the project CENTERLINE (CL); LT/RT from alignment geometry. Quantity QAQC flags unassociated / overlapping / low-confidence items.</t>
        </is>
      </c>
    </row>
    <row r="9">
      <c r="A9" t="inlineStr">
        <is>
          <t>Template rule</t>
        </is>
      </c>
      <c r="B9" t="inlineStr">
        <is>
          <t>User bid template when active; otherwise AutoVAD default CSI schedule</t>
        </is>
      </c>
    </row>
    <row r="10">
      <c r="A10" t="inlineStr">
        <is>
          <t>Status rule</t>
        </is>
      </c>
      <c r="B10" t="inlineStr">
        <is>
          <t>Verified when AI confidence &gt;= 97; else Engineer Review</t>
        </is>
      </c>
    </row>
    <row r="11">
      <c r="A11" t="inlineStr">
        <is>
          <t>Columns</t>
        </is>
      </c>
      <c r="B11" t="inlineStr">
        <is>
          <t>Item Number, Standard Bid Item Number, Item Description, Unit, Quantity, Cost, Total Cost, AI Confidence, Status, Source, Calculation Method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2026-08-26T04:08:43Z</dcterms:created>
  <dcterms:modified xmlns:dcterms="http://purl.org/dc/terms/" xmlns:xsi="http://www.w3.org/2001/XMLSchema-instance" xsi:type="dcterms:W3CDTF">2026-08-26T04:08:43Z</dcterms:modified>
</cp:coreProperties>
</file>